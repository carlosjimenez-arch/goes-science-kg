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2-8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2-8</t>
        </is>
      </c>
      <c r="O1" s="1" t="inlineStr">
        <is>
          <t>EE nucleo 2-8</t>
        </is>
      </c>
      <c r="P1" s="1" t="inlineStr">
        <is>
          <t>ENG nucleo 2-8</t>
        </is>
      </c>
      <c r="Q1" s="1" t="inlineStr">
        <is>
          <t>HK nucleo 2-8</t>
        </is>
      </c>
      <c r="R1" s="1" t="inlineStr">
        <is>
          <t>JP nucleo 2-8</t>
        </is>
      </c>
      <c r="S1" s="1" t="inlineStr">
        <is>
          <t>KR nucleo 2-8</t>
        </is>
      </c>
      <c r="T1" s="1" t="inlineStr">
        <is>
          <t>ON nucleo 2-8</t>
        </is>
      </c>
      <c r="U1" s="1" t="inlineStr">
        <is>
          <t>SG nucleo 2-8</t>
        </is>
      </c>
      <c r="V1" s="1" t="inlineStr">
        <is>
          <t>TW nucleo 2-8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</row>
    <row r="2">
      <c r="A2" t="inlineStr">
        <is>
          <t>Átomo y partículas subatómicas</t>
        </is>
      </c>
      <c r="B2" t="inlineStr">
        <is>
          <t>adelantado</t>
        </is>
      </c>
      <c r="C2" t="n">
        <v>5</v>
      </c>
      <c r="D2" t="n">
        <v>5</v>
      </c>
      <c r="E2" t="n">
        <v>7</v>
      </c>
      <c r="F2" t="n">
        <v>8</v>
      </c>
      <c r="G2" t="n">
        <v>6</v>
      </c>
      <c r="H2" t="n">
        <v>7</v>
      </c>
      <c r="I2" t="n">
        <v>7</v>
      </c>
      <c r="J2" t="n">
        <v>7</v>
      </c>
      <c r="K2" t="n">
        <v>6</v>
      </c>
      <c r="L2" t="n">
        <v>7.5</v>
      </c>
      <c r="M2" t="n">
        <v>7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</row>
    <row r="3">
      <c r="A3" t="inlineStr">
        <is>
          <t>Cambios físicos y químicos</t>
        </is>
      </c>
      <c r="B3" t="inlineStr">
        <is>
          <t>adelantado</t>
        </is>
      </c>
      <c r="C3" t="n">
        <v>2</v>
      </c>
      <c r="D3" t="n">
        <v>2</v>
      </c>
      <c r="E3" t="n">
        <v>2</v>
      </c>
      <c r="F3" t="n">
        <v>8</v>
      </c>
      <c r="G3" t="n">
        <v>2</v>
      </c>
      <c r="H3" t="n">
        <v>3</v>
      </c>
      <c r="I3" t="n">
        <v>5</v>
      </c>
      <c r="J3" t="n">
        <v>4.5</v>
      </c>
      <c r="K3" t="n">
        <v>4</v>
      </c>
      <c r="L3" t="n">
        <v>7.5</v>
      </c>
      <c r="M3" t="n">
        <v>4.5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</row>
    <row r="4">
      <c r="A4" t="inlineStr">
        <is>
          <t>Soluto, disolvente y concentración</t>
        </is>
      </c>
      <c r="B4" t="inlineStr">
        <is>
          <t>adelantado</t>
        </is>
      </c>
      <c r="C4" t="n">
        <v>3</v>
      </c>
      <c r="D4" t="n">
        <v>3</v>
      </c>
      <c r="F4" t="n">
        <v>4</v>
      </c>
      <c r="G4" t="n">
        <v>6</v>
      </c>
      <c r="H4" t="n">
        <v>2</v>
      </c>
      <c r="I4" t="n">
        <v>4</v>
      </c>
      <c r="J4" t="n">
        <v>4.5</v>
      </c>
      <c r="K4" t="n">
        <v>6</v>
      </c>
      <c r="L4" t="n">
        <v>7.5</v>
      </c>
      <c r="M4" t="n">
        <v>7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</row>
    <row r="5">
      <c r="A5" t="inlineStr">
        <is>
          <t>Densidad y flotación</t>
        </is>
      </c>
      <c r="B5" t="inlineStr">
        <is>
          <t>adelantado</t>
        </is>
      </c>
      <c r="C5" t="n">
        <v>2</v>
      </c>
      <c r="D5" t="n">
        <v>2</v>
      </c>
      <c r="F5" t="n">
        <v>8</v>
      </c>
      <c r="G5" t="n">
        <v>6</v>
      </c>
      <c r="H5" t="n">
        <v>7</v>
      </c>
      <c r="I5" t="n">
        <v>2</v>
      </c>
      <c r="J5" t="n">
        <v>4.5</v>
      </c>
      <c r="K5" t="n">
        <v>5</v>
      </c>
      <c r="L5" t="n">
        <v>7.5</v>
      </c>
      <c r="M5" t="n">
        <v>7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</row>
    <row r="6">
      <c r="A6" t="inlineStr">
        <is>
          <t>Disoluciones, coloides y suspensiones</t>
        </is>
      </c>
      <c r="B6" t="inlineStr">
        <is>
          <t>adelantado</t>
        </is>
      </c>
      <c r="C6" t="n">
        <v>3</v>
      </c>
      <c r="D6" t="n">
        <v>3</v>
      </c>
      <c r="F6" t="n">
        <v>8</v>
      </c>
      <c r="H6" t="n">
        <v>7</v>
      </c>
      <c r="L6" t="n">
        <v>7.5</v>
      </c>
      <c r="M6" t="n">
        <v>7</v>
      </c>
      <c r="O6" t="n">
        <v>1</v>
      </c>
      <c r="Q6" t="n">
        <v>1</v>
      </c>
      <c r="U6" t="n">
        <v>1</v>
      </c>
      <c r="V6" t="n">
        <v>1</v>
      </c>
    </row>
    <row r="7">
      <c r="A7" t="inlineStr">
        <is>
          <t>Distribución electrónica por niveles (modelo de capas)</t>
        </is>
      </c>
      <c r="B7" t="inlineStr">
        <is>
          <t>adelantado</t>
        </is>
      </c>
      <c r="C7" t="n">
        <v>5</v>
      </c>
      <c r="D7" t="n">
        <v>5</v>
      </c>
      <c r="F7" t="n">
        <v>8</v>
      </c>
      <c r="G7" t="n">
        <v>8.5</v>
      </c>
      <c r="K7" t="n">
        <v>8</v>
      </c>
      <c r="O7" t="n">
        <v>1</v>
      </c>
      <c r="P7" t="n">
        <v>1</v>
      </c>
      <c r="T7" t="n">
        <v>1</v>
      </c>
    </row>
    <row r="8">
      <c r="A8" t="inlineStr">
        <is>
          <t>Electrones de valencia y regla del octeto</t>
        </is>
      </c>
      <c r="B8" t="inlineStr">
        <is>
          <t>adelantado</t>
        </is>
      </c>
      <c r="C8" t="n">
        <v>6</v>
      </c>
      <c r="D8" t="n">
        <v>6</v>
      </c>
      <c r="G8" t="n">
        <v>8.5</v>
      </c>
      <c r="P8" t="n">
        <v>1</v>
      </c>
    </row>
    <row r="9">
      <c r="A9" t="inlineStr">
        <is>
          <t>Enlace covalente</t>
        </is>
      </c>
      <c r="B9" t="inlineStr">
        <is>
          <t>adelantado</t>
        </is>
      </c>
      <c r="C9" t="n">
        <v>6</v>
      </c>
      <c r="D9" t="n">
        <v>6</v>
      </c>
      <c r="F9" t="n">
        <v>8</v>
      </c>
      <c r="G9" t="n">
        <v>8.5</v>
      </c>
      <c r="O9" t="n">
        <v>1</v>
      </c>
      <c r="P9" t="n">
        <v>1</v>
      </c>
    </row>
    <row r="10">
      <c r="A10" t="inlineStr">
        <is>
          <t>Enlace iónico</t>
        </is>
      </c>
      <c r="B10" t="inlineStr">
        <is>
          <t>adelantado</t>
        </is>
      </c>
      <c r="C10" t="n">
        <v>5</v>
      </c>
      <c r="D10" t="n">
        <v>5</v>
      </c>
      <c r="F10" t="n">
        <v>8</v>
      </c>
      <c r="G10" t="n">
        <v>8.5</v>
      </c>
      <c r="O10" t="n">
        <v>1</v>
      </c>
      <c r="P10" t="n">
        <v>1</v>
      </c>
    </row>
    <row r="11">
      <c r="A11" t="inlineStr">
        <is>
          <t>Enlace metálico</t>
        </is>
      </c>
      <c r="B11" t="inlineStr">
        <is>
          <t>adelantado</t>
        </is>
      </c>
      <c r="C11" t="n">
        <v>6</v>
      </c>
      <c r="D11" t="n">
        <v>6</v>
      </c>
      <c r="F11" t="n">
        <v>8</v>
      </c>
      <c r="G11" t="n">
        <v>8.5</v>
      </c>
      <c r="H11" t="n">
        <v>7</v>
      </c>
      <c r="O11" t="n">
        <v>1</v>
      </c>
      <c r="P11" t="n">
        <v>1</v>
      </c>
      <c r="Q11" t="n">
        <v>1</v>
      </c>
    </row>
    <row r="12">
      <c r="A12" t="inlineStr">
        <is>
          <t>Notación y estructuras de Lewis</t>
        </is>
      </c>
      <c r="B12" t="inlineStr">
        <is>
          <t>adelantado</t>
        </is>
      </c>
      <c r="C12" t="n">
        <v>6</v>
      </c>
      <c r="D12" t="n">
        <v>6</v>
      </c>
      <c r="G12" t="n">
        <v>8.5</v>
      </c>
      <c r="P12" t="n">
        <v>1</v>
      </c>
    </row>
    <row r="13">
      <c r="A13" t="inlineStr">
        <is>
          <t>Fuerzas intermoleculares y propiedades físicas</t>
        </is>
      </c>
      <c r="B13" t="inlineStr">
        <is>
          <t>adelantado</t>
        </is>
      </c>
      <c r="C13" t="n">
        <v>6</v>
      </c>
      <c r="D13" t="n">
        <v>6</v>
      </c>
      <c r="F13" t="n">
        <v>8</v>
      </c>
      <c r="G13" t="n">
        <v>8.5</v>
      </c>
      <c r="H13" t="n">
        <v>7</v>
      </c>
      <c r="O13" t="n">
        <v>1</v>
      </c>
      <c r="P13" t="n">
        <v>1</v>
      </c>
      <c r="Q13" t="n">
        <v>1</v>
      </c>
    </row>
    <row r="14">
      <c r="A14" t="inlineStr">
        <is>
          <t>Geometría molecular (RPECV)</t>
        </is>
      </c>
      <c r="B14" t="inlineStr">
        <is>
          <t>adelantado</t>
        </is>
      </c>
      <c r="C14" t="n">
        <v>6</v>
      </c>
      <c r="D14" t="n">
        <v>6</v>
      </c>
      <c r="G14" t="n">
        <v>8.5</v>
      </c>
      <c r="P14" t="n">
        <v>1</v>
      </c>
    </row>
    <row r="15">
      <c r="A15" t="inlineStr">
        <is>
          <t>Iones</t>
        </is>
      </c>
      <c r="B15" t="inlineStr">
        <is>
          <t>adelantado</t>
        </is>
      </c>
      <c r="C15" t="n">
        <v>5</v>
      </c>
      <c r="D15" t="n">
        <v>5</v>
      </c>
      <c r="F15" t="n">
        <v>8</v>
      </c>
      <c r="G15" t="n">
        <v>8.5</v>
      </c>
      <c r="I15" t="n">
        <v>8</v>
      </c>
      <c r="J15" t="n">
        <v>7</v>
      </c>
      <c r="L15" t="n">
        <v>7.5</v>
      </c>
      <c r="M15" t="n">
        <v>7</v>
      </c>
      <c r="O15" t="n">
        <v>1</v>
      </c>
      <c r="P15" t="n">
        <v>1</v>
      </c>
      <c r="R15" t="n">
        <v>1</v>
      </c>
      <c r="S15" t="n">
        <v>1</v>
      </c>
      <c r="U15" t="n">
        <v>1</v>
      </c>
      <c r="V15" t="n">
        <v>1</v>
      </c>
    </row>
    <row r="16">
      <c r="A16" t="inlineStr">
        <is>
          <t>Isótopos</t>
        </is>
      </c>
      <c r="B16" t="inlineStr">
        <is>
          <t>adelantado</t>
        </is>
      </c>
      <c r="C16" t="n">
        <v>5</v>
      </c>
      <c r="D16" t="n">
        <v>5</v>
      </c>
      <c r="G16" t="n">
        <v>8.5</v>
      </c>
      <c r="L16" t="n">
        <v>7.5</v>
      </c>
      <c r="P16" t="n">
        <v>1</v>
      </c>
      <c r="U16" t="n">
        <v>1</v>
      </c>
    </row>
    <row r="17">
      <c r="A17" t="inlineStr">
        <is>
          <t>Masa atómica relativa</t>
        </is>
      </c>
      <c r="B17" t="inlineStr">
        <is>
          <t>adelantado</t>
        </is>
      </c>
      <c r="C17" t="n">
        <v>5</v>
      </c>
      <c r="D17" t="n">
        <v>5</v>
      </c>
      <c r="G17" t="n">
        <v>8.5</v>
      </c>
      <c r="H17" t="n">
        <v>7</v>
      </c>
      <c r="L17" t="n">
        <v>7.5</v>
      </c>
      <c r="M17" t="n">
        <v>7</v>
      </c>
      <c r="P17" t="n">
        <v>1</v>
      </c>
      <c r="Q17" t="n">
        <v>1</v>
      </c>
      <c r="U17" t="n">
        <v>1</v>
      </c>
      <c r="V17" t="n">
        <v>1</v>
      </c>
    </row>
    <row r="18">
      <c r="A18" t="inlineStr">
        <is>
          <t>Reutilización y reciclaje de materiales</t>
        </is>
      </c>
      <c r="B18" t="inlineStr">
        <is>
          <t>adelantado</t>
        </is>
      </c>
      <c r="C18" t="n">
        <v>2</v>
      </c>
      <c r="D18" t="n">
        <v>2</v>
      </c>
      <c r="F18" t="n">
        <v>8</v>
      </c>
      <c r="G18" t="n">
        <v>6</v>
      </c>
      <c r="H18" t="n">
        <v>7</v>
      </c>
      <c r="J18" t="n">
        <v>4.5</v>
      </c>
      <c r="K18" t="n">
        <v>4</v>
      </c>
      <c r="L18" t="n">
        <v>7.5</v>
      </c>
      <c r="M18" t="n">
        <v>7</v>
      </c>
      <c r="O18" t="n">
        <v>1</v>
      </c>
      <c r="P18" t="n">
        <v>1</v>
      </c>
      <c r="Q18" t="n">
        <v>1</v>
      </c>
      <c r="S18" t="n">
        <v>1</v>
      </c>
      <c r="T18" t="n">
        <v>1</v>
      </c>
      <c r="U18" t="n">
        <v>1</v>
      </c>
      <c r="V18" t="n">
        <v>1</v>
      </c>
    </row>
    <row r="19">
      <c r="A19" t="inlineStr">
        <is>
          <t>Mezclas homogéneas y heterogéneas</t>
        </is>
      </c>
      <c r="B19" t="inlineStr">
        <is>
          <t>adelantado</t>
        </is>
      </c>
      <c r="C19" t="n">
        <v>2</v>
      </c>
      <c r="D19" t="n">
        <v>2</v>
      </c>
      <c r="E19" t="n">
        <v>6</v>
      </c>
      <c r="F19" t="n">
        <v>4</v>
      </c>
      <c r="G19" t="n">
        <v>3</v>
      </c>
      <c r="H19" t="n">
        <v>2</v>
      </c>
      <c r="I19" t="n">
        <v>6</v>
      </c>
      <c r="J19" t="n">
        <v>4.5</v>
      </c>
      <c r="K19" t="n">
        <v>6</v>
      </c>
      <c r="L19" t="n">
        <v>5</v>
      </c>
      <c r="M19" t="n">
        <v>4.5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</row>
    <row r="20">
      <c r="A20" t="inlineStr">
        <is>
          <t>Evolución de los modelos atómicos</t>
        </is>
      </c>
      <c r="B20" t="inlineStr">
        <is>
          <t>adelantado</t>
        </is>
      </c>
      <c r="C20" t="n">
        <v>5</v>
      </c>
      <c r="D20" t="n">
        <v>5</v>
      </c>
      <c r="E20" t="n">
        <v>8</v>
      </c>
      <c r="G20" t="n">
        <v>6</v>
      </c>
      <c r="K20" t="n">
        <v>8</v>
      </c>
      <c r="L20" t="n">
        <v>7.5</v>
      </c>
      <c r="M20" t="n">
        <v>7</v>
      </c>
      <c r="N20" t="n">
        <v>1</v>
      </c>
      <c r="P20" t="n">
        <v>1</v>
      </c>
      <c r="T20" t="n">
        <v>1</v>
      </c>
      <c r="U20" t="n">
        <v>1</v>
      </c>
      <c r="V20" t="n">
        <v>1</v>
      </c>
    </row>
    <row r="21">
      <c r="A21" t="inlineStr">
        <is>
          <t>Moléculas y fórmulas químicas</t>
        </is>
      </c>
      <c r="B21" t="inlineStr">
        <is>
          <t>adelantado</t>
        </is>
      </c>
      <c r="C21" t="n">
        <v>5</v>
      </c>
      <c r="D21" t="n">
        <v>5</v>
      </c>
      <c r="E21" t="n">
        <v>7</v>
      </c>
      <c r="F21" t="n">
        <v>8</v>
      </c>
      <c r="G21" t="n">
        <v>6</v>
      </c>
      <c r="H21" t="n">
        <v>7</v>
      </c>
      <c r="I21" t="n">
        <v>7</v>
      </c>
      <c r="J21" t="n">
        <v>7</v>
      </c>
      <c r="K21" t="n">
        <v>6</v>
      </c>
      <c r="L21" t="n">
        <v>7.5</v>
      </c>
      <c r="M21" t="n">
        <v>7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1</v>
      </c>
    </row>
    <row r="22">
      <c r="A22" t="inlineStr">
        <is>
          <t>Número de oxidación</t>
        </is>
      </c>
      <c r="B22" t="inlineStr">
        <is>
          <t>adelantado</t>
        </is>
      </c>
      <c r="C22" t="n">
        <v>5</v>
      </c>
      <c r="D22" t="n">
        <v>5</v>
      </c>
      <c r="F22" t="n">
        <v>8</v>
      </c>
      <c r="O22" t="n">
        <v>1</v>
      </c>
    </row>
    <row r="23">
      <c r="A23" t="inlineStr">
        <is>
          <t>Propiedades físicas y químicas</t>
        </is>
      </c>
      <c r="B23" t="inlineStr">
        <is>
          <t>adelantado</t>
        </is>
      </c>
      <c r="C23" t="n">
        <v>2</v>
      </c>
      <c r="D23" t="n">
        <v>2</v>
      </c>
      <c r="E23" t="n">
        <v>2</v>
      </c>
      <c r="F23" t="n">
        <v>4</v>
      </c>
      <c r="G23" t="n">
        <v>2</v>
      </c>
      <c r="H23" t="n">
        <v>2</v>
      </c>
      <c r="I23" t="n">
        <v>6</v>
      </c>
      <c r="J23" t="n">
        <v>2.5</v>
      </c>
      <c r="K23" t="n">
        <v>8</v>
      </c>
      <c r="L23" t="n">
        <v>7.5</v>
      </c>
      <c r="M23" t="n">
        <v>4.5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</row>
    <row r="24">
      <c r="A24" t="inlineStr">
        <is>
          <t>Propiedades periódicas</t>
        </is>
      </c>
      <c r="B24" t="inlineStr">
        <is>
          <t>adelantado</t>
        </is>
      </c>
      <c r="C24" t="n">
        <v>5</v>
      </c>
      <c r="D24" t="n">
        <v>5</v>
      </c>
      <c r="G24" t="n">
        <v>6</v>
      </c>
      <c r="H24" t="n">
        <v>7</v>
      </c>
      <c r="K24" t="n">
        <v>8</v>
      </c>
      <c r="M24" t="n">
        <v>7</v>
      </c>
      <c r="P24" t="n">
        <v>1</v>
      </c>
      <c r="Q24" t="n">
        <v>1</v>
      </c>
      <c r="T24" t="n">
        <v>1</v>
      </c>
      <c r="V24" t="n">
        <v>1</v>
      </c>
    </row>
    <row r="25">
      <c r="A25" t="inlineStr">
        <is>
          <t>Propiedades singulares del agua</t>
        </is>
      </c>
      <c r="B25" t="inlineStr">
        <is>
          <t>adelantado</t>
        </is>
      </c>
      <c r="C25" t="n">
        <v>3</v>
      </c>
      <c r="D25" t="n">
        <v>3</v>
      </c>
      <c r="F25" t="n">
        <v>4</v>
      </c>
      <c r="G25" t="n">
        <v>6</v>
      </c>
      <c r="H25" t="n">
        <v>7</v>
      </c>
      <c r="I25" t="n">
        <v>3</v>
      </c>
      <c r="K25" t="n">
        <v>6</v>
      </c>
      <c r="O25" t="n">
        <v>1</v>
      </c>
      <c r="P25" t="n">
        <v>1</v>
      </c>
      <c r="Q25" t="n">
        <v>1</v>
      </c>
      <c r="R25" t="n">
        <v>1</v>
      </c>
      <c r="T25" t="n">
        <v>1</v>
      </c>
    </row>
    <row r="26">
      <c r="A26" t="inlineStr">
        <is>
          <t>Química descriptiva de los elementos</t>
        </is>
      </c>
      <c r="B26" t="inlineStr">
        <is>
          <t>adelantado</t>
        </is>
      </c>
      <c r="C26" t="n">
        <v>5</v>
      </c>
      <c r="D26" t="n">
        <v>5</v>
      </c>
      <c r="F26" t="n">
        <v>8</v>
      </c>
      <c r="G26" t="n">
        <v>8.5</v>
      </c>
      <c r="H26" t="n">
        <v>7</v>
      </c>
      <c r="M26" t="n">
        <v>7</v>
      </c>
      <c r="O26" t="n">
        <v>1</v>
      </c>
      <c r="P26" t="n">
        <v>1</v>
      </c>
      <c r="Q26" t="n">
        <v>1</v>
      </c>
      <c r="V26" t="n">
        <v>1</v>
      </c>
    </row>
    <row r="27">
      <c r="A27" t="inlineStr">
        <is>
          <t>Radiactividad y emisiones nucleares</t>
        </is>
      </c>
      <c r="B27" t="inlineStr">
        <is>
          <t>adelantado</t>
        </is>
      </c>
      <c r="C27" t="n">
        <v>5</v>
      </c>
      <c r="D27" t="n">
        <v>5</v>
      </c>
      <c r="E27" t="n">
        <v>8</v>
      </c>
      <c r="N27" t="n">
        <v>1</v>
      </c>
    </row>
    <row r="28">
      <c r="A28" t="inlineStr">
        <is>
          <t>Reacción química y sus evidencias</t>
        </is>
      </c>
      <c r="B28" t="inlineStr">
        <is>
          <t>adelantado</t>
        </is>
      </c>
      <c r="C28" t="n">
        <v>2</v>
      </c>
      <c r="D28" t="n">
        <v>2</v>
      </c>
      <c r="E28" t="n">
        <v>5</v>
      </c>
      <c r="F28" t="n">
        <v>8</v>
      </c>
      <c r="G28" t="n">
        <v>3</v>
      </c>
      <c r="H28" t="n">
        <v>5</v>
      </c>
      <c r="I28" t="n">
        <v>5</v>
      </c>
      <c r="J28" t="n">
        <v>4.5</v>
      </c>
      <c r="K28" t="n">
        <v>4</v>
      </c>
      <c r="L28" t="n">
        <v>7.5</v>
      </c>
      <c r="M28" t="n">
        <v>4.5</v>
      </c>
      <c r="N28" t="n">
        <v>1</v>
      </c>
      <c r="O28" t="n">
        <v>1</v>
      </c>
      <c r="P28" t="n">
        <v>1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t="n">
        <v>1</v>
      </c>
    </row>
    <row r="29">
      <c r="A29" t="inlineStr">
        <is>
          <t>Métodos físicos de separación de mezclas</t>
        </is>
      </c>
      <c r="B29" t="inlineStr">
        <is>
          <t>adelantado</t>
        </is>
      </c>
      <c r="C29" t="n">
        <v>2</v>
      </c>
      <c r="D29" t="n">
        <v>2</v>
      </c>
      <c r="E29" t="n">
        <v>6</v>
      </c>
      <c r="F29" t="n">
        <v>4</v>
      </c>
      <c r="G29" t="n">
        <v>3</v>
      </c>
      <c r="H29" t="n">
        <v>2</v>
      </c>
      <c r="I29" t="n">
        <v>4</v>
      </c>
      <c r="J29" t="n">
        <v>4.5</v>
      </c>
      <c r="K29" t="n">
        <v>6</v>
      </c>
      <c r="L29" t="n">
        <v>7.5</v>
      </c>
      <c r="M29" t="n">
        <v>2.5</v>
      </c>
      <c r="N29" t="n">
        <v>1</v>
      </c>
      <c r="O29" t="n">
        <v>1</v>
      </c>
      <c r="P29" t="n">
        <v>1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t="n">
        <v>1</v>
      </c>
    </row>
    <row r="30">
      <c r="A30" t="inlineStr">
        <is>
          <t>Organización de la tabla periódica</t>
        </is>
      </c>
      <c r="B30" t="inlineStr">
        <is>
          <t>adelantado</t>
        </is>
      </c>
      <c r="C30" t="n">
        <v>5</v>
      </c>
      <c r="D30" t="n">
        <v>5</v>
      </c>
      <c r="F30" t="n">
        <v>8</v>
      </c>
      <c r="G30" t="n">
        <v>6</v>
      </c>
      <c r="H30" t="n">
        <v>3</v>
      </c>
      <c r="J30" t="n">
        <v>7</v>
      </c>
      <c r="K30" t="n">
        <v>8</v>
      </c>
      <c r="L30" t="n">
        <v>7.5</v>
      </c>
      <c r="M30" t="n">
        <v>7</v>
      </c>
      <c r="O30" t="n">
        <v>1</v>
      </c>
      <c r="P30" t="n">
        <v>1</v>
      </c>
      <c r="Q30" t="n">
        <v>1</v>
      </c>
      <c r="S30" t="n">
        <v>1</v>
      </c>
      <c r="T30" t="n">
        <v>1</v>
      </c>
      <c r="U30" t="n">
        <v>1</v>
      </c>
      <c r="V30" t="n">
        <v>1</v>
      </c>
    </row>
    <row r="31">
      <c r="A31" t="inlineStr">
        <is>
          <t>Calidad y tratamiento del agua</t>
        </is>
      </c>
      <c r="B31" t="inlineStr">
        <is>
          <t>adelantado</t>
        </is>
      </c>
      <c r="C31" t="n">
        <v>3</v>
      </c>
      <c r="D31" t="n">
        <v>3</v>
      </c>
      <c r="F31" t="n">
        <v>4</v>
      </c>
      <c r="G31" t="n">
        <v>8.5</v>
      </c>
      <c r="H31" t="n">
        <v>2</v>
      </c>
      <c r="K31" t="n">
        <v>7</v>
      </c>
      <c r="L31" t="n">
        <v>5</v>
      </c>
      <c r="M31" t="n">
        <v>7</v>
      </c>
      <c r="O31" t="n">
        <v>1</v>
      </c>
      <c r="P31" t="n">
        <v>1</v>
      </c>
      <c r="Q31" t="n">
        <v>1</v>
      </c>
      <c r="T31" t="n">
        <v>1</v>
      </c>
      <c r="U31" t="n">
        <v>1</v>
      </c>
      <c r="V31" t="n">
        <v>1</v>
      </c>
    </row>
    <row r="32">
      <c r="A32" t="inlineStr">
        <is>
          <t>Ácidos y bases: propiedades</t>
        </is>
      </c>
      <c r="B32" t="inlineStr">
        <is>
          <t>alineado</t>
        </is>
      </c>
      <c r="C32" t="n">
        <v>7</v>
      </c>
      <c r="D32" t="n">
        <v>7</v>
      </c>
      <c r="F32" t="n">
        <v>8</v>
      </c>
      <c r="G32" t="n">
        <v>6</v>
      </c>
      <c r="H32" t="n">
        <v>7</v>
      </c>
      <c r="I32" t="n">
        <v>5</v>
      </c>
      <c r="J32" t="n">
        <v>4.5</v>
      </c>
      <c r="L32" t="n">
        <v>7.5</v>
      </c>
      <c r="M32" t="n">
        <v>2.5</v>
      </c>
      <c r="O32" t="n">
        <v>1</v>
      </c>
      <c r="P32" t="n">
        <v>1</v>
      </c>
      <c r="Q32" t="n">
        <v>1</v>
      </c>
      <c r="R32" t="n">
        <v>1</v>
      </c>
      <c r="S32" t="n">
        <v>1</v>
      </c>
      <c r="U32" t="n">
        <v>1</v>
      </c>
      <c r="V32" t="n">
        <v>1</v>
      </c>
    </row>
    <row r="33">
      <c r="A33" t="inlineStr">
        <is>
          <t>Cambios de estado</t>
        </is>
      </c>
      <c r="B33" t="inlineStr">
        <is>
          <t>alineado</t>
        </is>
      </c>
      <c r="C33" t="n">
        <v>2</v>
      </c>
      <c r="D33" t="n">
        <v>2</v>
      </c>
      <c r="E33" t="n">
        <v>2</v>
      </c>
      <c r="F33" t="n">
        <v>8</v>
      </c>
      <c r="G33" t="n">
        <v>2</v>
      </c>
      <c r="H33" t="n">
        <v>2</v>
      </c>
      <c r="I33" t="n">
        <v>3</v>
      </c>
      <c r="J33" t="n">
        <v>2.5</v>
      </c>
      <c r="K33" t="n">
        <v>4</v>
      </c>
      <c r="L33" t="n">
        <v>4</v>
      </c>
      <c r="M33" t="n">
        <v>2.5</v>
      </c>
      <c r="N33" t="n">
        <v>1</v>
      </c>
      <c r="O33" t="n">
        <v>1</v>
      </c>
      <c r="P33" t="n">
        <v>1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t="n">
        <v>1</v>
      </c>
    </row>
    <row r="34">
      <c r="A34" t="inlineStr">
        <is>
          <t>Combustibles fósiles y biocombustibles</t>
        </is>
      </c>
      <c r="B34" t="inlineStr">
        <is>
          <t>alineado</t>
        </is>
      </c>
      <c r="C34" t="n">
        <v>7</v>
      </c>
      <c r="D34" t="n">
        <v>7</v>
      </c>
      <c r="F34" t="n">
        <v>8</v>
      </c>
      <c r="G34" t="n">
        <v>6</v>
      </c>
      <c r="H34" t="n">
        <v>3</v>
      </c>
      <c r="K34" t="n">
        <v>4</v>
      </c>
      <c r="M34" t="n">
        <v>7</v>
      </c>
      <c r="O34" t="n">
        <v>1</v>
      </c>
      <c r="P34" t="n">
        <v>1</v>
      </c>
      <c r="Q34" t="n">
        <v>1</v>
      </c>
      <c r="T34" t="n">
        <v>1</v>
      </c>
      <c r="V34" t="n">
        <v>1</v>
      </c>
    </row>
    <row r="35">
      <c r="A35" t="inlineStr">
        <is>
          <t>Composición del aire y contaminantes atmosféricos</t>
        </is>
      </c>
      <c r="B35" t="inlineStr">
        <is>
          <t>alineado</t>
        </is>
      </c>
      <c r="C35" t="n">
        <v>7</v>
      </c>
      <c r="D35" t="n">
        <v>7</v>
      </c>
      <c r="F35" t="n">
        <v>8</v>
      </c>
      <c r="G35" t="n">
        <v>8.5</v>
      </c>
      <c r="H35" t="n">
        <v>2</v>
      </c>
      <c r="I35" t="n">
        <v>5</v>
      </c>
      <c r="J35" t="n">
        <v>2.5</v>
      </c>
      <c r="O35" t="n">
        <v>1</v>
      </c>
      <c r="P35" t="n">
        <v>1</v>
      </c>
      <c r="Q35" t="n">
        <v>1</v>
      </c>
      <c r="R35" t="n">
        <v>1</v>
      </c>
      <c r="S35" t="n">
        <v>1</v>
      </c>
    </row>
    <row r="36">
      <c r="A36" t="inlineStr">
        <is>
          <t>Disolución y rapidez de disolución</t>
        </is>
      </c>
      <c r="B36" t="inlineStr">
        <is>
          <t>alineado</t>
        </is>
      </c>
      <c r="C36" t="n">
        <v>3</v>
      </c>
      <c r="D36" t="n">
        <v>3</v>
      </c>
      <c r="G36" t="n">
        <v>3</v>
      </c>
      <c r="H36" t="n">
        <v>2</v>
      </c>
      <c r="I36" t="n">
        <v>4</v>
      </c>
      <c r="J36" t="n">
        <v>4.5</v>
      </c>
      <c r="K36" t="n">
        <v>6</v>
      </c>
      <c r="L36" t="n">
        <v>7.5</v>
      </c>
      <c r="M36" t="n">
        <v>2.5</v>
      </c>
      <c r="P36" t="n">
        <v>1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t="n">
        <v>1</v>
      </c>
    </row>
    <row r="37">
      <c r="A37" t="inlineStr">
        <is>
          <t>Ecuación química y su balanceo</t>
        </is>
      </c>
      <c r="B37" t="inlineStr">
        <is>
          <t>alineado</t>
        </is>
      </c>
      <c r="C37" t="n">
        <v>6</v>
      </c>
      <c r="D37" t="n">
        <v>6</v>
      </c>
      <c r="E37" t="n">
        <v>8</v>
      </c>
      <c r="F37" t="n">
        <v>8</v>
      </c>
      <c r="G37" t="n">
        <v>6</v>
      </c>
      <c r="H37" t="n">
        <v>7</v>
      </c>
      <c r="I37" t="n">
        <v>7</v>
      </c>
      <c r="J37" t="n">
        <v>4.5</v>
      </c>
      <c r="L37" t="n">
        <v>7.5</v>
      </c>
      <c r="M37" t="n">
        <v>7</v>
      </c>
      <c r="N37" t="n">
        <v>1</v>
      </c>
      <c r="O37" t="n">
        <v>1</v>
      </c>
      <c r="P37" t="n">
        <v>1</v>
      </c>
      <c r="Q37" t="n">
        <v>1</v>
      </c>
      <c r="R37" t="n">
        <v>1</v>
      </c>
      <c r="S37" t="n">
        <v>1</v>
      </c>
      <c r="U37" t="n">
        <v>1</v>
      </c>
      <c r="V37" t="n">
        <v>1</v>
      </c>
    </row>
    <row r="38">
      <c r="A38" t="inlineStr">
        <is>
          <t>Escala de pH</t>
        </is>
      </c>
      <c r="B38" t="inlineStr">
        <is>
          <t>alineado</t>
        </is>
      </c>
      <c r="C38" t="n">
        <v>7</v>
      </c>
      <c r="D38" t="n">
        <v>7</v>
      </c>
      <c r="F38" t="n">
        <v>8</v>
      </c>
      <c r="G38" t="n">
        <v>6</v>
      </c>
      <c r="H38" t="n">
        <v>7</v>
      </c>
      <c r="I38" t="n">
        <v>5</v>
      </c>
      <c r="J38" t="n">
        <v>4.5</v>
      </c>
      <c r="L38" t="n">
        <v>7.5</v>
      </c>
      <c r="M38" t="n">
        <v>4.5</v>
      </c>
      <c r="O38" t="n">
        <v>1</v>
      </c>
      <c r="P38" t="n">
        <v>1</v>
      </c>
      <c r="Q38" t="n">
        <v>1</v>
      </c>
      <c r="R38" t="n">
        <v>1</v>
      </c>
      <c r="S38" t="n">
        <v>1</v>
      </c>
      <c r="U38" t="n">
        <v>1</v>
      </c>
      <c r="V38" t="n">
        <v>1</v>
      </c>
    </row>
    <row r="39">
      <c r="A39" t="inlineStr">
        <is>
          <t>Estados de la materia</t>
        </is>
      </c>
      <c r="B39" t="inlineStr">
        <is>
          <t>alineado</t>
        </is>
      </c>
      <c r="C39" t="n">
        <v>2</v>
      </c>
      <c r="D39" t="n">
        <v>2</v>
      </c>
      <c r="E39" t="n">
        <v>2</v>
      </c>
      <c r="F39" t="n">
        <v>8</v>
      </c>
      <c r="G39" t="n">
        <v>2</v>
      </c>
      <c r="H39" t="n">
        <v>2</v>
      </c>
      <c r="I39" t="n">
        <v>3</v>
      </c>
      <c r="J39" t="n">
        <v>2.5</v>
      </c>
      <c r="K39" t="n">
        <v>4</v>
      </c>
      <c r="L39" t="n">
        <v>4</v>
      </c>
      <c r="M39" t="n">
        <v>2.5</v>
      </c>
      <c r="N39" t="n">
        <v>1</v>
      </c>
      <c r="O39" t="n">
        <v>1</v>
      </c>
      <c r="P39" t="n">
        <v>1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t="n">
        <v>1</v>
      </c>
    </row>
    <row r="40">
      <c r="A40" t="inlineStr">
        <is>
          <t>Estequiometría</t>
        </is>
      </c>
      <c r="B40" t="inlineStr">
        <is>
          <t>alineado</t>
        </is>
      </c>
      <c r="C40" t="n">
        <v>8</v>
      </c>
      <c r="D40" t="n">
        <v>8</v>
      </c>
      <c r="F40" t="n">
        <v>8</v>
      </c>
      <c r="G40" t="n">
        <v>8.5</v>
      </c>
      <c r="I40" t="n">
        <v>7</v>
      </c>
      <c r="J40" t="n">
        <v>7</v>
      </c>
      <c r="O40" t="n">
        <v>1</v>
      </c>
      <c r="P40" t="n">
        <v>1</v>
      </c>
      <c r="R40" t="n">
        <v>1</v>
      </c>
      <c r="S40" t="n">
        <v>1</v>
      </c>
    </row>
    <row r="41">
      <c r="A41" t="inlineStr">
        <is>
          <t>Fuerzas intermoleculares</t>
        </is>
      </c>
      <c r="B41" t="inlineStr">
        <is>
          <t>alineado</t>
        </is>
      </c>
      <c r="C41" t="n">
        <v>6</v>
      </c>
      <c r="D41" t="n">
        <v>6</v>
      </c>
      <c r="E41" t="n">
        <v>6</v>
      </c>
      <c r="G41" t="n">
        <v>8.5</v>
      </c>
      <c r="J41" t="n">
        <v>7</v>
      </c>
      <c r="N41" t="n">
        <v>1</v>
      </c>
      <c r="P41" t="n">
        <v>1</v>
      </c>
      <c r="S41" t="n">
        <v>1</v>
      </c>
    </row>
    <row r="42">
      <c r="A42" t="inlineStr">
        <is>
          <t>Masa molar</t>
        </is>
      </c>
      <c r="B42" t="inlineStr">
        <is>
          <t>alineado</t>
        </is>
      </c>
      <c r="C42" t="n">
        <v>8</v>
      </c>
      <c r="D42" t="n">
        <v>8</v>
      </c>
      <c r="F42" t="n">
        <v>8</v>
      </c>
      <c r="G42" t="n">
        <v>8.5</v>
      </c>
      <c r="O42" t="n">
        <v>1</v>
      </c>
      <c r="P42" t="n">
        <v>1</v>
      </c>
    </row>
    <row r="43">
      <c r="A43" t="inlineStr">
        <is>
          <t>Materia y materiales</t>
        </is>
      </c>
      <c r="B43" t="inlineStr">
        <is>
          <t>alineado</t>
        </is>
      </c>
      <c r="C43" t="n">
        <v>2</v>
      </c>
      <c r="D43" t="n">
        <v>2</v>
      </c>
      <c r="E43" t="n">
        <v>2</v>
      </c>
      <c r="F43" t="n">
        <v>4</v>
      </c>
      <c r="G43" t="n">
        <v>2</v>
      </c>
      <c r="H43" t="n">
        <v>2</v>
      </c>
      <c r="I43" t="n">
        <v>8</v>
      </c>
      <c r="J43" t="n">
        <v>2.5</v>
      </c>
      <c r="K43" t="n">
        <v>4</v>
      </c>
      <c r="L43" t="n">
        <v>3</v>
      </c>
      <c r="M43" t="n">
        <v>2.5</v>
      </c>
      <c r="N43" t="n">
        <v>1</v>
      </c>
      <c r="O43" t="n">
        <v>1</v>
      </c>
      <c r="P43" t="n">
        <v>1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t="n">
        <v>1</v>
      </c>
    </row>
    <row r="44">
      <c r="A44" t="inlineStr">
        <is>
          <t>Minerales: composición y estructura cristalina</t>
        </is>
      </c>
      <c r="B44" t="inlineStr">
        <is>
          <t>alineado</t>
        </is>
      </c>
      <c r="C44" t="n">
        <v>8</v>
      </c>
      <c r="D44" t="n">
        <v>8</v>
      </c>
      <c r="E44" t="n">
        <v>7</v>
      </c>
      <c r="F44" t="n">
        <v>8</v>
      </c>
      <c r="H44" t="n">
        <v>7</v>
      </c>
      <c r="N44" t="n">
        <v>1</v>
      </c>
      <c r="O44" t="n">
        <v>1</v>
      </c>
      <c r="Q44" t="n">
        <v>1</v>
      </c>
    </row>
    <row r="45">
      <c r="A45" t="inlineStr">
        <is>
          <t>Modelo de partículas de la materia</t>
        </is>
      </c>
      <c r="B45" t="inlineStr">
        <is>
          <t>alineado</t>
        </is>
      </c>
      <c r="C45" t="n">
        <v>6</v>
      </c>
      <c r="D45" t="n">
        <v>6</v>
      </c>
      <c r="E45" t="n">
        <v>4</v>
      </c>
      <c r="F45" t="n">
        <v>8</v>
      </c>
      <c r="G45" t="n">
        <v>6</v>
      </c>
      <c r="H45" t="n">
        <v>7</v>
      </c>
      <c r="I45" t="n">
        <v>3</v>
      </c>
      <c r="J45" t="n">
        <v>7</v>
      </c>
      <c r="K45" t="n">
        <v>4</v>
      </c>
      <c r="L45" t="n">
        <v>7.5</v>
      </c>
      <c r="M45" t="n">
        <v>7</v>
      </c>
      <c r="N45" t="n">
        <v>1</v>
      </c>
      <c r="O45" t="n">
        <v>1</v>
      </c>
      <c r="P45" t="n">
        <v>1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t="n">
        <v>1</v>
      </c>
    </row>
    <row r="46">
      <c r="A46" t="inlineStr">
        <is>
          <t>Mol y número de Avogadro</t>
        </is>
      </c>
      <c r="B46" t="inlineStr">
        <is>
          <t>alineado</t>
        </is>
      </c>
      <c r="C46" t="n">
        <v>8</v>
      </c>
      <c r="D46" t="n">
        <v>8</v>
      </c>
      <c r="F46" t="n">
        <v>8</v>
      </c>
      <c r="G46" t="n">
        <v>8.5</v>
      </c>
      <c r="O46" t="n">
        <v>1</v>
      </c>
      <c r="P46" t="n">
        <v>1</v>
      </c>
    </row>
    <row r="47">
      <c r="A47" t="inlineStr">
        <is>
          <t>Compuestos inorgánicos: funciones y nomenclatura</t>
        </is>
      </c>
      <c r="B47" t="inlineStr">
        <is>
          <t>alineado</t>
        </is>
      </c>
      <c r="C47" t="n">
        <v>7</v>
      </c>
      <c r="D47" t="n">
        <v>7</v>
      </c>
      <c r="F47" t="n">
        <v>8</v>
      </c>
      <c r="G47" t="n">
        <v>6</v>
      </c>
      <c r="M47" t="n">
        <v>7</v>
      </c>
      <c r="O47" t="n">
        <v>1</v>
      </c>
      <c r="P47" t="n">
        <v>1</v>
      </c>
      <c r="V47" t="n">
        <v>1</v>
      </c>
    </row>
    <row r="48">
      <c r="A48" t="inlineStr">
        <is>
          <t>Oxidación y corrosión de los metales</t>
        </is>
      </c>
      <c r="B48" t="inlineStr">
        <is>
          <t>alineado</t>
        </is>
      </c>
      <c r="C48" t="n">
        <v>7</v>
      </c>
      <c r="D48" t="n">
        <v>7</v>
      </c>
      <c r="H48" t="n">
        <v>3</v>
      </c>
      <c r="I48" t="n">
        <v>5</v>
      </c>
      <c r="M48" t="n">
        <v>2.5</v>
      </c>
      <c r="Q48" t="n">
        <v>1</v>
      </c>
      <c r="R48" t="n">
        <v>1</v>
      </c>
      <c r="V48" t="n">
        <v>1</v>
      </c>
    </row>
    <row r="49">
      <c r="A49" t="inlineStr">
        <is>
          <t>Polaridad molecular</t>
        </is>
      </c>
      <c r="B49" t="inlineStr">
        <is>
          <t>alineado</t>
        </is>
      </c>
      <c r="C49" t="n">
        <v>6</v>
      </c>
      <c r="D49" t="n">
        <v>6</v>
      </c>
      <c r="F49" t="n">
        <v>8</v>
      </c>
      <c r="K49" t="n">
        <v>6</v>
      </c>
      <c r="O49" t="n">
        <v>1</v>
      </c>
      <c r="T49" t="n">
        <v>1</v>
      </c>
    </row>
    <row r="50">
      <c r="A50" t="inlineStr">
        <is>
          <t>Proceso de disolución y solvatación</t>
        </is>
      </c>
      <c r="B50" t="inlineStr">
        <is>
          <t>alineado</t>
        </is>
      </c>
      <c r="C50" t="n">
        <v>7</v>
      </c>
      <c r="D50" t="n">
        <v>7</v>
      </c>
      <c r="H50" t="n">
        <v>7</v>
      </c>
      <c r="K50" t="n">
        <v>6</v>
      </c>
      <c r="M50" t="n">
        <v>7</v>
      </c>
      <c r="Q50" t="n">
        <v>1</v>
      </c>
      <c r="T50" t="n">
        <v>1</v>
      </c>
      <c r="V50" t="n">
        <v>1</v>
      </c>
    </row>
    <row r="51">
      <c r="A51" t="inlineStr">
        <is>
          <t>Procesos de la industria química</t>
        </is>
      </c>
      <c r="B51" t="inlineStr">
        <is>
          <t>alineado</t>
        </is>
      </c>
      <c r="C51" t="n">
        <v>8</v>
      </c>
      <c r="D51" t="n">
        <v>8</v>
      </c>
      <c r="G51" t="n">
        <v>8.5</v>
      </c>
      <c r="K51" t="n">
        <v>6</v>
      </c>
      <c r="M51" t="n">
        <v>7</v>
      </c>
      <c r="P51" t="n">
        <v>1</v>
      </c>
      <c r="T51" t="n">
        <v>1</v>
      </c>
      <c r="V51" t="n">
        <v>1</v>
      </c>
    </row>
    <row r="52">
      <c r="A52" t="inlineStr">
        <is>
          <t>Propiedades físicas de los materiales</t>
        </is>
      </c>
      <c r="B52" t="inlineStr">
        <is>
          <t>alineado</t>
        </is>
      </c>
      <c r="C52" t="n">
        <v>2</v>
      </c>
      <c r="D52" t="n">
        <v>2</v>
      </c>
      <c r="E52" t="n">
        <v>2</v>
      </c>
      <c r="F52" t="n">
        <v>4</v>
      </c>
      <c r="G52" t="n">
        <v>2</v>
      </c>
      <c r="H52" t="n">
        <v>2</v>
      </c>
      <c r="I52" t="n">
        <v>6</v>
      </c>
      <c r="J52" t="n">
        <v>2.5</v>
      </c>
      <c r="K52" t="n">
        <v>4</v>
      </c>
      <c r="L52" t="n">
        <v>3</v>
      </c>
      <c r="M52" t="n">
        <v>2.5</v>
      </c>
      <c r="N52" t="n">
        <v>1</v>
      </c>
      <c r="O52" t="n">
        <v>1</v>
      </c>
      <c r="P52" t="n">
        <v>1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t="n">
        <v>1</v>
      </c>
    </row>
    <row r="53">
      <c r="A53" t="inlineStr">
        <is>
          <t>Factores que afectan la rapidez de reacción</t>
        </is>
      </c>
      <c r="B53" t="inlineStr">
        <is>
          <t>alineado</t>
        </is>
      </c>
      <c r="C53" t="n">
        <v>6</v>
      </c>
      <c r="D53" t="n">
        <v>6</v>
      </c>
      <c r="F53" t="n">
        <v>8</v>
      </c>
      <c r="G53" t="n">
        <v>6</v>
      </c>
      <c r="H53" t="n">
        <v>7</v>
      </c>
      <c r="M53" t="n">
        <v>2.5</v>
      </c>
      <c r="O53" t="n">
        <v>1</v>
      </c>
      <c r="P53" t="n">
        <v>1</v>
      </c>
      <c r="Q53" t="n">
        <v>1</v>
      </c>
      <c r="V53" t="n">
        <v>1</v>
      </c>
    </row>
    <row r="54">
      <c r="A54" t="inlineStr">
        <is>
          <t>Solubilidad y disoluciones saturadas</t>
        </is>
      </c>
      <c r="B54" t="inlineStr">
        <is>
          <t>alineado</t>
        </is>
      </c>
      <c r="C54" t="n">
        <v>3</v>
      </c>
      <c r="D54" t="n">
        <v>3</v>
      </c>
      <c r="F54" t="n">
        <v>8</v>
      </c>
      <c r="G54" t="n">
        <v>3</v>
      </c>
      <c r="H54" t="n">
        <v>2</v>
      </c>
      <c r="I54" t="n">
        <v>4</v>
      </c>
      <c r="J54" t="n">
        <v>4.5</v>
      </c>
      <c r="K54" t="n">
        <v>6</v>
      </c>
      <c r="L54" t="n">
        <v>7.5</v>
      </c>
      <c r="M54" t="n">
        <v>2.5</v>
      </c>
      <c r="O54" t="n">
        <v>1</v>
      </c>
      <c r="P54" t="n">
        <v>1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t="n">
        <v>1</v>
      </c>
    </row>
    <row r="55">
      <c r="A55" t="inlineStr">
        <is>
          <t>Sustancias puras: elementos y compuestos</t>
        </is>
      </c>
      <c r="B55" t="inlineStr">
        <is>
          <t>alineado</t>
        </is>
      </c>
      <c r="C55" t="n">
        <v>8</v>
      </c>
      <c r="D55" t="n">
        <v>8</v>
      </c>
      <c r="E55" t="n">
        <v>6</v>
      </c>
      <c r="F55" t="n">
        <v>8</v>
      </c>
      <c r="G55" t="n">
        <v>6</v>
      </c>
      <c r="H55" t="n">
        <v>7</v>
      </c>
      <c r="I55" t="n">
        <v>6</v>
      </c>
      <c r="J55" t="n">
        <v>7</v>
      </c>
      <c r="K55" t="n">
        <v>6</v>
      </c>
      <c r="L55" t="n">
        <v>7.5</v>
      </c>
      <c r="M55" t="n">
        <v>2.5</v>
      </c>
      <c r="N55" t="n">
        <v>1</v>
      </c>
      <c r="O55" t="n">
        <v>1</v>
      </c>
      <c r="P55" t="n">
        <v>1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t="n">
        <v>1</v>
      </c>
    </row>
    <row r="56">
      <c r="A56" t="inlineStr">
        <is>
          <t>Tipo de enlace y propiedades de las sustancias</t>
        </is>
      </c>
      <c r="B56" t="inlineStr">
        <is>
          <t>alineado</t>
        </is>
      </c>
      <c r="C56" t="n">
        <v>6</v>
      </c>
      <c r="D56" t="n">
        <v>6</v>
      </c>
      <c r="F56" t="n">
        <v>8</v>
      </c>
      <c r="G56" t="n">
        <v>6</v>
      </c>
      <c r="H56" t="n">
        <v>7</v>
      </c>
      <c r="M56" t="n">
        <v>7</v>
      </c>
      <c r="O56" t="n">
        <v>1</v>
      </c>
      <c r="P56" t="n">
        <v>1</v>
      </c>
      <c r="Q56" t="n">
        <v>1</v>
      </c>
      <c r="V56" t="n">
        <v>1</v>
      </c>
    </row>
    <row r="57">
      <c r="A57" t="inlineStr">
        <is>
          <t>Clasificación de las reacciones químicas</t>
        </is>
      </c>
      <c r="B57" t="inlineStr">
        <is>
          <t>alineado</t>
        </is>
      </c>
      <c r="C57" t="n">
        <v>6</v>
      </c>
      <c r="D57" t="n">
        <v>6</v>
      </c>
      <c r="F57" t="n">
        <v>8</v>
      </c>
      <c r="G57" t="n">
        <v>6</v>
      </c>
      <c r="H57" t="n">
        <v>7</v>
      </c>
      <c r="I57" t="n">
        <v>6</v>
      </c>
      <c r="L57" t="n">
        <v>7.5</v>
      </c>
      <c r="O57" t="n">
        <v>1</v>
      </c>
      <c r="P57" t="n">
        <v>1</v>
      </c>
      <c r="Q57" t="n">
        <v>1</v>
      </c>
      <c r="R57" t="n">
        <v>1</v>
      </c>
      <c r="U57" t="n">
        <v>1</v>
      </c>
    </row>
    <row r="58">
      <c r="A58" t="inlineStr">
        <is>
          <t>Autoionización del agua, Kw y cálculo de pH</t>
        </is>
      </c>
      <c r="B58" t="inlineStr">
        <is>
          <t>posterior</t>
        </is>
      </c>
      <c r="C58" t="n">
        <v>9</v>
      </c>
      <c r="G58" t="n">
        <v>8.5</v>
      </c>
      <c r="M58" t="n">
        <v>7</v>
      </c>
      <c r="P58" t="n">
        <v>1</v>
      </c>
      <c r="V58" t="n">
        <v>1</v>
      </c>
    </row>
    <row r="59">
      <c r="A59" t="inlineStr">
        <is>
          <t>Catalizadores</t>
        </is>
      </c>
      <c r="B59" t="inlineStr">
        <is>
          <t>posterior</t>
        </is>
      </c>
      <c r="C59" t="n">
        <v>10</v>
      </c>
      <c r="G59" t="n">
        <v>6</v>
      </c>
      <c r="M59" t="n">
        <v>7</v>
      </c>
      <c r="P59" t="n">
        <v>1</v>
      </c>
      <c r="V59" t="n">
        <v>1</v>
      </c>
    </row>
    <row r="60">
      <c r="A60" t="inlineStr">
        <is>
          <t>Celdas galvánicas</t>
        </is>
      </c>
      <c r="B60" t="inlineStr">
        <is>
          <t>posterior</t>
        </is>
      </c>
      <c r="C60" t="n">
        <v>11</v>
      </c>
      <c r="I60" t="n">
        <v>5</v>
      </c>
      <c r="M60" t="n">
        <v>7</v>
      </c>
      <c r="R60" t="n">
        <v>1</v>
      </c>
      <c r="V60" t="n">
        <v>1</v>
      </c>
    </row>
    <row r="61">
      <c r="A61" t="inlineStr">
        <is>
          <t>Composición porcentual y fórmulas empírica y molecular</t>
        </is>
      </c>
      <c r="B61" t="inlineStr">
        <is>
          <t>posterior</t>
        </is>
      </c>
      <c r="C61" t="n">
        <v>10</v>
      </c>
      <c r="G61" t="n">
        <v>8.5</v>
      </c>
      <c r="P61" t="n">
        <v>1</v>
      </c>
    </row>
    <row r="62">
      <c r="A62" t="inlineStr">
        <is>
          <t>Cromatografía</t>
        </is>
      </c>
      <c r="B62" t="inlineStr">
        <is>
          <t>posterior</t>
        </is>
      </c>
      <c r="C62" t="n">
        <v>10</v>
      </c>
      <c r="G62" t="n">
        <v>8.5</v>
      </c>
      <c r="H62" t="n">
        <v>7</v>
      </c>
      <c r="L62" t="n">
        <v>7.5</v>
      </c>
      <c r="M62" t="n">
        <v>7</v>
      </c>
      <c r="P62" t="n">
        <v>1</v>
      </c>
      <c r="Q62" t="n">
        <v>1</v>
      </c>
      <c r="U62" t="n">
        <v>1</v>
      </c>
      <c r="V62" t="n">
        <v>1</v>
      </c>
    </row>
    <row r="63">
      <c r="A63" t="inlineStr">
        <is>
          <t>Mezclas de gases, difusión y gases reales</t>
        </is>
      </c>
      <c r="B63" t="inlineStr">
        <is>
          <t>posterior</t>
        </is>
      </c>
      <c r="C63" t="n">
        <v>10</v>
      </c>
      <c r="J63" t="n">
        <v>7</v>
      </c>
      <c r="L63" t="n">
        <v>7.5</v>
      </c>
      <c r="S63" t="n">
        <v>1</v>
      </c>
      <c r="U63" t="n">
        <v>1</v>
      </c>
    </row>
    <row r="64">
      <c r="A64" t="inlineStr">
        <is>
          <t>Ecuación de los gases ideales y volumen molar</t>
        </is>
      </c>
      <c r="B64" t="inlineStr">
        <is>
          <t>posterior</t>
        </is>
      </c>
      <c r="C64" t="n">
        <v>10</v>
      </c>
      <c r="F64" t="n">
        <v>8</v>
      </c>
      <c r="O64" t="n">
        <v>1</v>
      </c>
    </row>
    <row r="65">
      <c r="A65" t="inlineStr">
        <is>
          <t>Ecuaciones y reacciones nucleares</t>
        </is>
      </c>
      <c r="B65" t="inlineStr">
        <is>
          <t>posterior</t>
        </is>
      </c>
      <c r="C65" t="n">
        <v>10</v>
      </c>
      <c r="L65" t="n">
        <v>7.5</v>
      </c>
      <c r="U65" t="n">
        <v>1</v>
      </c>
    </row>
    <row r="66">
      <c r="A66" t="inlineStr">
        <is>
          <t>El carbono y las moléculas orgánicas</t>
        </is>
      </c>
      <c r="B66" t="inlineStr">
        <is>
          <t>posterior</t>
        </is>
      </c>
      <c r="C66" t="n">
        <v>10</v>
      </c>
      <c r="F66" t="n">
        <v>8</v>
      </c>
      <c r="G66" t="n">
        <v>8.5</v>
      </c>
      <c r="M66" t="n">
        <v>7</v>
      </c>
      <c r="O66" t="n">
        <v>1</v>
      </c>
      <c r="P66" t="n">
        <v>1</v>
      </c>
      <c r="V66" t="n">
        <v>1</v>
      </c>
    </row>
    <row r="67">
      <c r="A67" t="inlineStr">
        <is>
          <t>Electrólisis y celdas electrolíticas</t>
        </is>
      </c>
      <c r="B67" t="inlineStr">
        <is>
          <t>posterior</t>
        </is>
      </c>
      <c r="C67" t="n">
        <v>10</v>
      </c>
      <c r="G67" t="n">
        <v>8.5</v>
      </c>
      <c r="H67" t="n">
        <v>7</v>
      </c>
      <c r="I67" t="n">
        <v>8</v>
      </c>
      <c r="M67" t="n">
        <v>7</v>
      </c>
      <c r="P67" t="n">
        <v>1</v>
      </c>
      <c r="Q67" t="n">
        <v>1</v>
      </c>
      <c r="R67" t="n">
        <v>1</v>
      </c>
      <c r="V67" t="n">
        <v>1</v>
      </c>
    </row>
    <row r="68">
      <c r="A68" t="inlineStr">
        <is>
          <t>Electrolitos fuertes y débiles</t>
        </is>
      </c>
      <c r="B68" t="inlineStr">
        <is>
          <t>posterior</t>
        </is>
      </c>
      <c r="C68" t="n">
        <v>9</v>
      </c>
      <c r="F68" t="n">
        <v>8</v>
      </c>
      <c r="G68" t="n">
        <v>8.5</v>
      </c>
      <c r="I68" t="n">
        <v>8</v>
      </c>
      <c r="M68" t="n">
        <v>7</v>
      </c>
      <c r="O68" t="n">
        <v>1</v>
      </c>
      <c r="P68" t="n">
        <v>1</v>
      </c>
      <c r="R68" t="n">
        <v>1</v>
      </c>
      <c r="V68" t="n">
        <v>1</v>
      </c>
    </row>
    <row r="69">
      <c r="A69" t="inlineStr">
        <is>
          <t>Energía de activación y perfil energético</t>
        </is>
      </c>
      <c r="B69" t="inlineStr">
        <is>
          <t>posterior</t>
        </is>
      </c>
      <c r="C69" t="n">
        <v>10</v>
      </c>
      <c r="G69" t="n">
        <v>6</v>
      </c>
      <c r="P69" t="n">
        <v>1</v>
      </c>
    </row>
    <row r="70">
      <c r="A70" t="inlineStr">
        <is>
          <t>Energía de enlace</t>
        </is>
      </c>
      <c r="B70" t="inlineStr">
        <is>
          <t>posterior</t>
        </is>
      </c>
      <c r="C70" t="n">
        <v>10</v>
      </c>
      <c r="G70" t="n">
        <v>6</v>
      </c>
      <c r="P70" t="n">
        <v>1</v>
      </c>
    </row>
    <row r="71">
      <c r="A71" t="inlineStr">
        <is>
          <t>Enlace químico</t>
        </is>
      </c>
      <c r="B71" t="inlineStr">
        <is>
          <t>posterior</t>
        </is>
      </c>
      <c r="C71" t="n">
        <v>10</v>
      </c>
      <c r="F71" t="n">
        <v>8</v>
      </c>
      <c r="G71" t="n">
        <v>8.5</v>
      </c>
      <c r="H71" t="n">
        <v>7</v>
      </c>
      <c r="L71" t="n">
        <v>7.5</v>
      </c>
      <c r="O71" t="n">
        <v>1</v>
      </c>
      <c r="P71" t="n">
        <v>1</v>
      </c>
      <c r="Q71" t="n">
        <v>1</v>
      </c>
      <c r="U71" t="n">
        <v>1</v>
      </c>
    </row>
    <row r="72">
      <c r="A72" t="inlineStr">
        <is>
          <t>Entalpía de reacción y ecuaciones termoquímicas</t>
        </is>
      </c>
      <c r="B72" t="inlineStr">
        <is>
          <t>posterior</t>
        </is>
      </c>
      <c r="C72" t="n">
        <v>10</v>
      </c>
      <c r="G72" t="n">
        <v>8.5</v>
      </c>
      <c r="I72" t="n">
        <v>7</v>
      </c>
      <c r="M72" t="n">
        <v>7</v>
      </c>
      <c r="P72" t="n">
        <v>1</v>
      </c>
      <c r="R72" t="n">
        <v>1</v>
      </c>
      <c r="V72" t="n">
        <v>1</v>
      </c>
    </row>
    <row r="73">
      <c r="A73" t="inlineStr">
        <is>
          <t>Equilibrio químico dinámico</t>
        </is>
      </c>
      <c r="B73" t="inlineStr">
        <is>
          <t>posterior</t>
        </is>
      </c>
      <c r="C73" t="n">
        <v>9</v>
      </c>
      <c r="G73" t="n">
        <v>8.5</v>
      </c>
      <c r="M73" t="n">
        <v>7</v>
      </c>
      <c r="P73" t="n">
        <v>1</v>
      </c>
      <c r="V73" t="n">
        <v>1</v>
      </c>
    </row>
    <row r="74">
      <c r="A74" t="inlineStr">
        <is>
          <t>Equilibrio y rapidez en procesos industriales</t>
        </is>
      </c>
      <c r="B74" t="inlineStr">
        <is>
          <t>posterior</t>
        </is>
      </c>
      <c r="C74" t="n">
        <v>10</v>
      </c>
      <c r="G74" t="n">
        <v>8.5</v>
      </c>
      <c r="P74" t="n">
        <v>1</v>
      </c>
    </row>
    <row r="75">
      <c r="A75" t="inlineStr">
        <is>
          <t>Espectros atómicos y modelo de Bohr</t>
        </is>
      </c>
      <c r="B75" t="inlineStr">
        <is>
          <t>posterior</t>
        </is>
      </c>
      <c r="C75" t="n">
        <v>10</v>
      </c>
      <c r="H75" t="n">
        <v>7</v>
      </c>
      <c r="Q75" t="n">
        <v>1</v>
      </c>
    </row>
    <row r="76">
      <c r="A76" t="inlineStr">
        <is>
          <t>Estereoquímica y quiralidad</t>
        </is>
      </c>
      <c r="B76" t="inlineStr">
        <is>
          <t>posterior</t>
        </is>
      </c>
      <c r="C76" t="n">
        <v>10</v>
      </c>
      <c r="M76" t="n">
        <v>7</v>
      </c>
      <c r="V76" t="n">
        <v>1</v>
      </c>
    </row>
    <row r="77">
      <c r="A77" t="inlineStr">
        <is>
          <t>Esterificación e hidrólisis</t>
        </is>
      </c>
      <c r="B77" t="inlineStr">
        <is>
          <t>posterior</t>
        </is>
      </c>
      <c r="C77" t="n">
        <v>11</v>
      </c>
      <c r="M77" t="n">
        <v>7</v>
      </c>
      <c r="V77" t="n">
        <v>1</v>
      </c>
    </row>
    <row r="78">
      <c r="A78" t="inlineStr">
        <is>
          <t>Estructura y propiedades de los polímeros</t>
        </is>
      </c>
      <c r="B78" t="inlineStr">
        <is>
          <t>posterior</t>
        </is>
      </c>
      <c r="C78" t="n">
        <v>11</v>
      </c>
      <c r="F78" t="n">
        <v>8</v>
      </c>
      <c r="G78" t="n">
        <v>6</v>
      </c>
      <c r="H78" t="n">
        <v>7</v>
      </c>
      <c r="M78" t="n">
        <v>7</v>
      </c>
      <c r="O78" t="n">
        <v>1</v>
      </c>
      <c r="P78" t="n">
        <v>1</v>
      </c>
      <c r="Q78" t="n">
        <v>1</v>
      </c>
      <c r="V78" t="n">
        <v>1</v>
      </c>
    </row>
    <row r="79">
      <c r="A79" t="inlineStr">
        <is>
          <t>Fuerza de ácidos y bases: Ka y Kb</t>
        </is>
      </c>
      <c r="B79" t="inlineStr">
        <is>
          <t>posterior</t>
        </is>
      </c>
      <c r="C79" t="n">
        <v>9</v>
      </c>
      <c r="F79" t="n">
        <v>8</v>
      </c>
      <c r="G79" t="n">
        <v>8.5</v>
      </c>
      <c r="M79" t="n">
        <v>7</v>
      </c>
      <c r="O79" t="n">
        <v>1</v>
      </c>
      <c r="P79" t="n">
        <v>1</v>
      </c>
      <c r="V79" t="n">
        <v>1</v>
      </c>
    </row>
    <row r="80">
      <c r="A80" t="inlineStr">
        <is>
          <t>Grupos funcionales</t>
        </is>
      </c>
      <c r="B80" t="inlineStr">
        <is>
          <t>posterior</t>
        </is>
      </c>
      <c r="C80" t="n">
        <v>11</v>
      </c>
      <c r="F80" t="n">
        <v>8</v>
      </c>
      <c r="G80" t="n">
        <v>8.5</v>
      </c>
      <c r="M80" t="n">
        <v>7</v>
      </c>
      <c r="O80" t="n">
        <v>1</v>
      </c>
      <c r="P80" t="n">
        <v>1</v>
      </c>
      <c r="V80" t="n">
        <v>1</v>
      </c>
    </row>
    <row r="81">
      <c r="A81" t="inlineStr">
        <is>
          <t>Hidrocarburos: alcanos, alquenos y alquinos</t>
        </is>
      </c>
      <c r="B81" t="inlineStr">
        <is>
          <t>posterior</t>
        </is>
      </c>
      <c r="C81" t="n">
        <v>11</v>
      </c>
      <c r="F81" t="n">
        <v>8</v>
      </c>
      <c r="G81" t="n">
        <v>8.5</v>
      </c>
      <c r="H81" t="n">
        <v>7</v>
      </c>
      <c r="M81" t="n">
        <v>7</v>
      </c>
      <c r="O81" t="n">
        <v>1</v>
      </c>
      <c r="P81" t="n">
        <v>1</v>
      </c>
      <c r="Q81" t="n">
        <v>1</v>
      </c>
      <c r="V81" t="n">
        <v>1</v>
      </c>
    </row>
    <row r="82">
      <c r="A82" t="inlineStr">
        <is>
          <t>Hidrocarburos aromáticos</t>
        </is>
      </c>
      <c r="B82" t="inlineStr">
        <is>
          <t>posterior</t>
        </is>
      </c>
      <c r="C82" t="n">
        <v>11</v>
      </c>
      <c r="G82" t="n">
        <v>8.5</v>
      </c>
      <c r="P82" t="n">
        <v>1</v>
      </c>
    </row>
    <row r="83">
      <c r="A83" t="inlineStr">
        <is>
          <t>Isomería estructural</t>
        </is>
      </c>
      <c r="B83" t="inlineStr">
        <is>
          <t>posterior</t>
        </is>
      </c>
      <c r="C83" t="n">
        <v>10</v>
      </c>
      <c r="F83" t="n">
        <v>8</v>
      </c>
      <c r="M83" t="n">
        <v>7</v>
      </c>
      <c r="O83" t="n">
        <v>1</v>
      </c>
      <c r="V83" t="n">
        <v>1</v>
      </c>
    </row>
    <row r="84">
      <c r="A84" t="inlineStr">
        <is>
          <t>Ley de Hess y entalpías de formación</t>
        </is>
      </c>
      <c r="B84" t="inlineStr">
        <is>
          <t>posterior</t>
        </is>
      </c>
      <c r="C84" t="n">
        <v>10</v>
      </c>
      <c r="G84" t="n">
        <v>8.5</v>
      </c>
      <c r="P84" t="n">
        <v>1</v>
      </c>
    </row>
    <row r="85">
      <c r="A85" t="inlineStr">
        <is>
          <t>Leyes de los gases</t>
        </is>
      </c>
      <c r="B85" t="inlineStr">
        <is>
          <t>posterior</t>
        </is>
      </c>
      <c r="C85" t="n">
        <v>10</v>
      </c>
      <c r="I85" t="n">
        <v>6</v>
      </c>
      <c r="J85" t="n">
        <v>2.5</v>
      </c>
      <c r="R85" t="n">
        <v>1</v>
      </c>
      <c r="S85" t="n">
        <v>1</v>
      </c>
    </row>
    <row r="86">
      <c r="A86" t="inlineStr">
        <is>
          <t>Leyes ponderales y volumétricas</t>
        </is>
      </c>
      <c r="B86" t="inlineStr">
        <is>
          <t>posterior</t>
        </is>
      </c>
      <c r="C86" t="n">
        <v>10</v>
      </c>
      <c r="I86" t="n">
        <v>7</v>
      </c>
      <c r="J86" t="n">
        <v>7</v>
      </c>
      <c r="R86" t="n">
        <v>1</v>
      </c>
      <c r="S86" t="n">
        <v>1</v>
      </c>
    </row>
    <row r="87">
      <c r="A87" t="inlineStr">
        <is>
          <t>Nomenclatura orgánica IUPAC</t>
        </is>
      </c>
      <c r="B87" t="inlineStr">
        <is>
          <t>posterior</t>
        </is>
      </c>
      <c r="C87" t="n">
        <v>11</v>
      </c>
      <c r="G87" t="n">
        <v>6</v>
      </c>
      <c r="M87" t="n">
        <v>7</v>
      </c>
      <c r="P87" t="n">
        <v>1</v>
      </c>
      <c r="V87" t="n">
        <v>1</v>
      </c>
    </row>
    <row r="88">
      <c r="A88" t="inlineStr">
        <is>
          <t>Polimerización por adición y por condensación</t>
        </is>
      </c>
      <c r="B88" t="inlineStr">
        <is>
          <t>posterior</t>
        </is>
      </c>
      <c r="C88" t="n">
        <v>11</v>
      </c>
      <c r="H88" t="n">
        <v>7</v>
      </c>
      <c r="M88" t="n">
        <v>7</v>
      </c>
      <c r="Q88" t="n">
        <v>1</v>
      </c>
      <c r="V88" t="n">
        <v>1</v>
      </c>
    </row>
    <row r="89">
      <c r="A89" t="inlineStr">
        <is>
          <t>Polímeros y ambiente</t>
        </is>
      </c>
      <c r="B89" t="inlineStr">
        <is>
          <t>posterior</t>
        </is>
      </c>
      <c r="C89" t="n">
        <v>11</v>
      </c>
      <c r="F89" t="n">
        <v>8</v>
      </c>
      <c r="H89" t="n">
        <v>7</v>
      </c>
      <c r="O89" t="n">
        <v>1</v>
      </c>
      <c r="Q89" t="n">
        <v>1</v>
      </c>
    </row>
    <row r="90">
      <c r="A90" t="inlineStr">
        <is>
          <t>Potenciales estándar de electrodo y de celda</t>
        </is>
      </c>
      <c r="B90" t="inlineStr">
        <is>
          <t>posterior</t>
        </is>
      </c>
      <c r="C90" t="n">
        <v>11</v>
      </c>
      <c r="F90" t="n">
        <v>8</v>
      </c>
      <c r="G90" t="n">
        <v>8.5</v>
      </c>
      <c r="O90" t="n">
        <v>1</v>
      </c>
      <c r="P90" t="n">
        <v>1</v>
      </c>
    </row>
    <row r="91">
      <c r="A91" t="inlineStr">
        <is>
          <t>Principio de Le Chatelier</t>
        </is>
      </c>
      <c r="B91" t="inlineStr">
        <is>
          <t>posterior</t>
        </is>
      </c>
      <c r="C91" t="n">
        <v>9</v>
      </c>
      <c r="G91" t="n">
        <v>8.5</v>
      </c>
      <c r="M91" t="n">
        <v>7</v>
      </c>
      <c r="P91" t="n">
        <v>1</v>
      </c>
      <c r="V91" t="n">
        <v>1</v>
      </c>
    </row>
    <row r="92">
      <c r="A92" t="inlineStr">
        <is>
          <t>Química de los lípidos</t>
        </is>
      </c>
      <c r="B92" t="inlineStr">
        <is>
          <t>posterior</t>
        </is>
      </c>
      <c r="C92" t="n">
        <v>6</v>
      </c>
      <c r="D92" t="n">
        <v>6</v>
      </c>
    </row>
    <row r="93">
      <c r="A93" t="inlineStr">
        <is>
          <t>Química verde y economía atómica</t>
        </is>
      </c>
      <c r="B93" t="inlineStr">
        <is>
          <t>posterior</t>
        </is>
      </c>
      <c r="C93" t="n">
        <v>11</v>
      </c>
      <c r="G93" t="n">
        <v>8.5</v>
      </c>
      <c r="H93" t="n">
        <v>7</v>
      </c>
      <c r="P93" t="n">
        <v>1</v>
      </c>
      <c r="Q93" t="n">
        <v>1</v>
      </c>
    </row>
    <row r="94">
      <c r="A94" t="inlineStr">
        <is>
          <t>Reacciones de precipitación e identificación de iones</t>
        </is>
      </c>
      <c r="B94" t="inlineStr">
        <is>
          <t>posterior</t>
        </is>
      </c>
      <c r="C94" t="n">
        <v>9</v>
      </c>
      <c r="H94" t="n">
        <v>7</v>
      </c>
      <c r="I94" t="n">
        <v>8</v>
      </c>
      <c r="M94" t="n">
        <v>7</v>
      </c>
      <c r="Q94" t="n">
        <v>1</v>
      </c>
      <c r="R94" t="n">
        <v>1</v>
      </c>
      <c r="V94" t="n">
        <v>1</v>
      </c>
    </row>
    <row r="95">
      <c r="A95" t="inlineStr">
        <is>
          <t>Reacciones orgánicas características</t>
        </is>
      </c>
      <c r="B95" t="inlineStr">
        <is>
          <t>posterior</t>
        </is>
      </c>
      <c r="C95" t="n">
        <v>11</v>
      </c>
      <c r="M95" t="n">
        <v>7</v>
      </c>
      <c r="V95" t="n">
        <v>1</v>
      </c>
    </row>
    <row r="96">
      <c r="A96" t="inlineStr">
        <is>
          <t>Reactivo limitante y en exceso</t>
        </is>
      </c>
      <c r="B96" t="inlineStr">
        <is>
          <t>posterior</t>
        </is>
      </c>
      <c r="C96" t="n">
        <v>10</v>
      </c>
      <c r="G96" t="n">
        <v>8.5</v>
      </c>
      <c r="P96" t="n">
        <v>1</v>
      </c>
    </row>
    <row r="97">
      <c r="A97" t="inlineStr">
        <is>
          <t>Redes covalentes y alótropos del carbono</t>
        </is>
      </c>
      <c r="B97" t="inlineStr">
        <is>
          <t>posterior</t>
        </is>
      </c>
      <c r="C97" t="n">
        <v>10</v>
      </c>
      <c r="F97" t="n">
        <v>8</v>
      </c>
      <c r="G97" t="n">
        <v>8.5</v>
      </c>
      <c r="M97" t="n">
        <v>7</v>
      </c>
      <c r="O97" t="n">
        <v>1</v>
      </c>
      <c r="P97" t="n">
        <v>1</v>
      </c>
      <c r="V97" t="n">
        <v>1</v>
      </c>
    </row>
    <row r="98">
      <c r="A98" t="inlineStr">
        <is>
          <t>Semivida, series de desintegración y residuos radiactivos</t>
        </is>
      </c>
      <c r="B98" t="inlineStr">
        <is>
          <t>posterior</t>
        </is>
      </c>
      <c r="C98" t="n">
        <v>10</v>
      </c>
      <c r="E98" t="n">
        <v>8</v>
      </c>
      <c r="F98" t="n">
        <v>8</v>
      </c>
      <c r="G98" t="n">
        <v>8.5</v>
      </c>
      <c r="N98" t="n">
        <v>1</v>
      </c>
      <c r="O98" t="n">
        <v>1</v>
      </c>
      <c r="P98" t="n">
        <v>1</v>
      </c>
    </row>
    <row r="99">
      <c r="A99" t="inlineStr">
        <is>
          <t>Teoría cinética de los gases</t>
        </is>
      </c>
      <c r="B99" t="inlineStr">
        <is>
          <t>posterior</t>
        </is>
      </c>
      <c r="C99" t="n">
        <v>9</v>
      </c>
      <c r="G99" t="n">
        <v>6</v>
      </c>
      <c r="H99" t="n">
        <v>7</v>
      </c>
      <c r="J99" t="n">
        <v>2.5</v>
      </c>
      <c r="M99" t="n">
        <v>4.5</v>
      </c>
      <c r="P99" t="n">
        <v>1</v>
      </c>
      <c r="Q99" t="n">
        <v>1</v>
      </c>
      <c r="S99" t="n">
        <v>1</v>
      </c>
      <c r="V99" t="n">
        <v>1</v>
      </c>
    </row>
    <row r="100">
      <c r="A100" t="inlineStr">
        <is>
          <t>Teoría de colisiones</t>
        </is>
      </c>
      <c r="B100" t="inlineStr">
        <is>
          <t>posterior</t>
        </is>
      </c>
      <c r="C100" t="n">
        <v>9</v>
      </c>
      <c r="F100" t="n">
        <v>8</v>
      </c>
      <c r="G100" t="n">
        <v>8.5</v>
      </c>
      <c r="H100" t="n">
        <v>7</v>
      </c>
      <c r="M100" t="n">
        <v>7</v>
      </c>
      <c r="O100" t="n">
        <v>1</v>
      </c>
      <c r="P100" t="n">
        <v>1</v>
      </c>
      <c r="Q100" t="n">
        <v>1</v>
      </c>
      <c r="V100" t="n">
        <v>1</v>
      </c>
    </row>
    <row r="101">
      <c r="A101" t="inlineStr">
        <is>
          <t>Teorías ácido-base (Arrhenius, Brønsted-Lowry, Lewis)</t>
        </is>
      </c>
      <c r="B101" t="inlineStr">
        <is>
          <t>posterior</t>
        </is>
      </c>
      <c r="C101" t="n">
        <v>9</v>
      </c>
      <c r="F101" t="n">
        <v>8</v>
      </c>
      <c r="G101" t="n">
        <v>8.5</v>
      </c>
      <c r="I101" t="n">
        <v>8</v>
      </c>
      <c r="M101" t="n">
        <v>7</v>
      </c>
      <c r="O101" t="n">
        <v>1</v>
      </c>
      <c r="P101" t="n">
        <v>1</v>
      </c>
      <c r="R101" t="n">
        <v>1</v>
      </c>
      <c r="V101" t="n">
        <v>1</v>
      </c>
    </row>
    <row r="102">
      <c r="A102" t="inlineStr">
        <is>
          <t>Medición de la velocidad de reacción</t>
        </is>
      </c>
      <c r="B102" t="inlineStr">
        <is>
          <t>posterior</t>
        </is>
      </c>
      <c r="C102" t="n">
        <v>10</v>
      </c>
      <c r="G102" t="n">
        <v>8.5</v>
      </c>
      <c r="P102" t="n">
        <v>1</v>
      </c>
    </row>
    <row r="103">
      <c r="A103" t="inlineStr">
        <is>
          <t>Aminoácidos y estructura de las proteínas</t>
        </is>
      </c>
      <c r="B103" t="inlineStr">
        <is>
          <t>sin_referente</t>
        </is>
      </c>
      <c r="C103" t="n">
        <v>6</v>
      </c>
      <c r="D103" t="n">
        <v>6</v>
      </c>
    </row>
    <row r="104">
      <c r="A104" t="inlineStr">
        <is>
          <t>Electronegatividad y polaridad de enlace</t>
        </is>
      </c>
      <c r="B104" t="inlineStr">
        <is>
          <t>sin_referente</t>
        </is>
      </c>
      <c r="C104" t="n">
        <v>6</v>
      </c>
      <c r="D104" t="n">
        <v>6</v>
      </c>
    </row>
    <row r="105">
      <c r="A105" t="inlineStr">
        <is>
          <t>Modelo mecanocuántico y orbitales atómicos</t>
        </is>
      </c>
      <c r="B105" t="inlineStr">
        <is>
          <t>sin_referente</t>
        </is>
      </c>
      <c r="C105" t="n">
        <v>5</v>
      </c>
      <c r="D105" t="n">
        <v>5</v>
      </c>
    </row>
    <row r="106">
      <c r="A106" t="inlineStr">
        <is>
          <t>Molaridad y unidades químicas de concentración</t>
        </is>
      </c>
      <c r="B106" t="inlineStr">
        <is>
          <t>sin_referente</t>
        </is>
      </c>
      <c r="C106" t="n">
        <v>8</v>
      </c>
      <c r="D106" t="n">
        <v>8</v>
      </c>
    </row>
    <row r="107">
      <c r="A107" t="inlineStr">
        <is>
          <t>Números cuánticos</t>
        </is>
      </c>
      <c r="B107" t="inlineStr">
        <is>
          <t>sin_referente</t>
        </is>
      </c>
      <c r="C107" t="n">
        <v>5</v>
      </c>
      <c r="D107" t="n">
        <v>5</v>
      </c>
    </row>
    <row r="108">
      <c r="A108" t="inlineStr">
        <is>
          <t>Propiedades coligativas</t>
        </is>
      </c>
      <c r="B108" t="inlineStr">
        <is>
          <t>sin_referente</t>
        </is>
      </c>
      <c r="C108" t="n">
        <v>8</v>
      </c>
      <c r="D108" t="n">
        <v>8</v>
      </c>
    </row>
    <row r="109">
      <c r="A109" t="inlineStr">
        <is>
          <t>Química de los carbohidratos</t>
        </is>
      </c>
      <c r="B109" t="inlineStr">
        <is>
          <t>sin_referente</t>
        </is>
      </c>
      <c r="C109" t="n">
        <v>6</v>
      </c>
      <c r="D109" t="n">
        <v>6</v>
      </c>
    </row>
    <row r="110">
      <c r="A110" t="inlineStr">
        <is>
          <t>Sólidos cristalinos y amorfos</t>
        </is>
      </c>
      <c r="B110" t="inlineStr">
        <is>
          <t>sin_referente</t>
        </is>
      </c>
      <c r="C110" t="n">
        <v>8</v>
      </c>
      <c r="D110" t="n">
        <v>8</v>
      </c>
    </row>
    <row r="111">
      <c r="A111" t="inlineStr">
        <is>
          <t>Agentes oxidantes y reductores</t>
        </is>
      </c>
      <c r="B111" t="inlineStr">
        <is>
          <t>tardio</t>
        </is>
      </c>
      <c r="C111" t="n">
        <v>10</v>
      </c>
      <c r="F111" t="n">
        <v>8</v>
      </c>
      <c r="G111" t="n">
        <v>6</v>
      </c>
      <c r="H111" t="n">
        <v>7</v>
      </c>
      <c r="I111" t="n">
        <v>8</v>
      </c>
      <c r="M111" t="n">
        <v>7</v>
      </c>
      <c r="O111" t="n">
        <v>1</v>
      </c>
      <c r="P111" t="n">
        <v>1</v>
      </c>
      <c r="Q111" t="n">
        <v>1</v>
      </c>
      <c r="R111" t="n">
        <v>1</v>
      </c>
      <c r="V111" t="n">
        <v>1</v>
      </c>
    </row>
    <row r="112">
      <c r="A112" t="inlineStr">
        <is>
          <t>Metales, cerámicas y materiales compuestos</t>
        </is>
      </c>
      <c r="B112" t="inlineStr">
        <is>
          <t>tardio</t>
        </is>
      </c>
      <c r="C112" t="n">
        <v>10</v>
      </c>
      <c r="E112" t="n">
        <v>3</v>
      </c>
      <c r="F112" t="n">
        <v>8</v>
      </c>
      <c r="G112" t="n">
        <v>6</v>
      </c>
      <c r="H112" t="n">
        <v>7</v>
      </c>
      <c r="M112" t="n">
        <v>7</v>
      </c>
      <c r="N112" t="n">
        <v>1</v>
      </c>
      <c r="O112" t="n">
        <v>1</v>
      </c>
      <c r="P112" t="n">
        <v>1</v>
      </c>
      <c r="Q112" t="n">
        <v>1</v>
      </c>
      <c r="V112" t="n">
        <v>1</v>
      </c>
    </row>
    <row r="113">
      <c r="A113" t="inlineStr">
        <is>
          <t>Combustión</t>
        </is>
      </c>
      <c r="B113" t="inlineStr">
        <is>
          <t>tardio</t>
        </is>
      </c>
      <c r="C113" t="n">
        <v>7</v>
      </c>
      <c r="D113" t="n">
        <v>7</v>
      </c>
      <c r="E113" t="n">
        <v>8</v>
      </c>
      <c r="F113" t="n">
        <v>8</v>
      </c>
      <c r="G113" t="n">
        <v>3</v>
      </c>
      <c r="H113" t="n">
        <v>3</v>
      </c>
      <c r="I113" t="n">
        <v>5</v>
      </c>
      <c r="J113" t="n">
        <v>4.5</v>
      </c>
      <c r="L113" t="n">
        <v>7.5</v>
      </c>
      <c r="M113" t="n">
        <v>2.5</v>
      </c>
      <c r="N113" t="n">
        <v>1</v>
      </c>
      <c r="O113" t="n">
        <v>1</v>
      </c>
      <c r="P113" t="n">
        <v>1</v>
      </c>
      <c r="Q113" t="n">
        <v>1</v>
      </c>
      <c r="R113" t="n">
        <v>1</v>
      </c>
      <c r="S113" t="n">
        <v>1</v>
      </c>
      <c r="U113" t="n">
        <v>1</v>
      </c>
      <c r="V113" t="n">
        <v>1</v>
      </c>
    </row>
    <row r="114">
      <c r="A114" t="inlineStr">
        <is>
          <t>Conservación de la masa</t>
        </is>
      </c>
      <c r="B114" t="inlineStr">
        <is>
          <t>tardio</t>
        </is>
      </c>
      <c r="C114" t="n">
        <v>10</v>
      </c>
      <c r="E114" t="n">
        <v>8</v>
      </c>
      <c r="F114" t="n">
        <v>8</v>
      </c>
      <c r="G114" t="n">
        <v>6</v>
      </c>
      <c r="H114" t="n">
        <v>7</v>
      </c>
      <c r="I114" t="n">
        <v>4</v>
      </c>
      <c r="J114" t="n">
        <v>7</v>
      </c>
      <c r="L114" t="n">
        <v>7.5</v>
      </c>
      <c r="M114" t="n">
        <v>4.5</v>
      </c>
      <c r="N114" t="n">
        <v>1</v>
      </c>
      <c r="O114" t="n">
        <v>1</v>
      </c>
      <c r="P114" t="n">
        <v>1</v>
      </c>
      <c r="Q114" t="n">
        <v>1</v>
      </c>
      <c r="R114" t="n">
        <v>1</v>
      </c>
      <c r="S114" t="n">
        <v>1</v>
      </c>
      <c r="U114" t="n">
        <v>1</v>
      </c>
      <c r="V114" t="n">
        <v>1</v>
      </c>
    </row>
    <row r="115">
      <c r="A115" t="inlineStr">
        <is>
          <t>Indicadores ácido-base</t>
        </is>
      </c>
      <c r="B115" t="inlineStr">
        <is>
          <t>tardio</t>
        </is>
      </c>
      <c r="C115" t="n">
        <v>9</v>
      </c>
      <c r="F115" t="n">
        <v>8</v>
      </c>
      <c r="G115" t="n">
        <v>6</v>
      </c>
      <c r="H115" t="n">
        <v>7</v>
      </c>
      <c r="J115" t="n">
        <v>4.5</v>
      </c>
      <c r="L115" t="n">
        <v>7.5</v>
      </c>
      <c r="M115" t="n">
        <v>2.5</v>
      </c>
      <c r="O115" t="n">
        <v>1</v>
      </c>
      <c r="P115" t="n">
        <v>1</v>
      </c>
      <c r="Q115" t="n">
        <v>1</v>
      </c>
      <c r="S115" t="n">
        <v>1</v>
      </c>
      <c r="U115" t="n">
        <v>1</v>
      </c>
      <c r="V115" t="n">
        <v>1</v>
      </c>
    </row>
    <row r="116">
      <c r="A116" t="inlineStr">
        <is>
          <t>Neutralización y reacciones de los ácidos</t>
        </is>
      </c>
      <c r="B116" t="inlineStr">
        <is>
          <t>tardio</t>
        </is>
      </c>
      <c r="C116" t="n">
        <v>9</v>
      </c>
      <c r="F116" t="n">
        <v>8</v>
      </c>
      <c r="G116" t="n">
        <v>3</v>
      </c>
      <c r="H116" t="n">
        <v>7</v>
      </c>
      <c r="I116" t="n">
        <v>5</v>
      </c>
      <c r="J116" t="n">
        <v>4.5</v>
      </c>
      <c r="L116" t="n">
        <v>7.5</v>
      </c>
      <c r="M116" t="n">
        <v>4.5</v>
      </c>
      <c r="O116" t="n">
        <v>1</v>
      </c>
      <c r="P116" t="n">
        <v>1</v>
      </c>
      <c r="Q116" t="n">
        <v>1</v>
      </c>
      <c r="R116" t="n">
        <v>1</v>
      </c>
      <c r="S116" t="n">
        <v>1</v>
      </c>
      <c r="U116" t="n">
        <v>1</v>
      </c>
      <c r="V116" t="n">
        <v>1</v>
      </c>
    </row>
    <row r="117">
      <c r="A117" t="inlineStr">
        <is>
          <t>Oxidación y reducción</t>
        </is>
      </c>
      <c r="B117" t="inlineStr">
        <is>
          <t>tardio</t>
        </is>
      </c>
      <c r="C117" t="n">
        <v>10</v>
      </c>
      <c r="F117" t="n">
        <v>8</v>
      </c>
      <c r="G117" t="n">
        <v>6</v>
      </c>
      <c r="H117" t="n">
        <v>7</v>
      </c>
      <c r="I117" t="n">
        <v>7</v>
      </c>
      <c r="L117" t="n">
        <v>7.5</v>
      </c>
      <c r="M117" t="n">
        <v>7</v>
      </c>
      <c r="O117" t="n">
        <v>1</v>
      </c>
      <c r="P117" t="n">
        <v>1</v>
      </c>
      <c r="Q117" t="n">
        <v>1</v>
      </c>
      <c r="R117" t="n">
        <v>1</v>
      </c>
      <c r="U117" t="n">
        <v>1</v>
      </c>
      <c r="V117" t="n">
        <v>1</v>
      </c>
    </row>
    <row r="118">
      <c r="A118" t="inlineStr">
        <is>
          <t>Reacciones exotérmicas y endotérmicas</t>
        </is>
      </c>
      <c r="B118" t="inlineStr">
        <is>
          <t>tardio</t>
        </is>
      </c>
      <c r="C118" t="n">
        <v>10</v>
      </c>
      <c r="E118" t="n">
        <v>7</v>
      </c>
      <c r="F118" t="n">
        <v>8</v>
      </c>
      <c r="G118" t="n">
        <v>6</v>
      </c>
      <c r="H118" t="n">
        <v>7</v>
      </c>
      <c r="I118" t="n">
        <v>7</v>
      </c>
      <c r="J118" t="n">
        <v>7</v>
      </c>
      <c r="M118" t="n">
        <v>7</v>
      </c>
      <c r="N118" t="n">
        <v>1</v>
      </c>
      <c r="O118" t="n">
        <v>1</v>
      </c>
      <c r="P118" t="n">
        <v>1</v>
      </c>
      <c r="Q118" t="n">
        <v>1</v>
      </c>
      <c r="R118" t="n">
        <v>1</v>
      </c>
      <c r="S118" t="n">
        <v>1</v>
      </c>
      <c r="V118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2-8</t>
        </is>
      </c>
      <c r="H1" s="1" t="inlineStr">
        <is>
          <t>Paises con nucleo en 2-8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SV",""),IF(G2="",IF(B2&gt;8,IF(C2&gt;=5,"SV tarde","despues del tramo"),IF(H2&gt;=5,"no retomado en 2-8","previo")),IF(B2&lt;2,"retomado",IF(AND(C2&lt;=1,E2&gt;=3),"solo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SV",""),IF(G3="",IF(B3&gt;8,IF(C3&gt;=5,"SV tarde","despues del tramo"),IF(H3&gt;=5,"no retomado en 2-8","previo")),IF(B3&lt;2,"retomado",IF(AND(C3&lt;=1,E3&gt;=3),"solo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SV",""),IF(G4="",IF(B4&gt;8,IF(C4&gt;=5,"SV tarde","despues del tramo"),IF(H4&gt;=5,"no retomado en 2-8","previo")),IF(B4&lt;2,"retomado",IF(AND(C4&lt;=1,E4&gt;=3),"solo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SV",""),IF(G5="",IF(B5&gt;8,IF(C5&gt;=5,"SV tarde","despues del tramo"),IF(H5&gt;=5,"no retomado en 2-8","previo")),IF(B5&lt;2,"retomado",IF(AND(C5&lt;=1,E5&gt;=3),"solo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SV",""),IF(G6="",IF(B6&gt;8,IF(C6&gt;=5,"SV tarde","despues del tramo"),IF(H6&gt;=5,"no retomado en 2-8","previo")),IF(B6&lt;2,"retomado",IF(AND(C6&lt;=1,E6&gt;=3),"solo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SV",""),IF(G7="",IF(B7&gt;8,IF(C7&gt;=5,"SV tarde","despues del tramo"),IF(H7&gt;=5,"no retomado en 2-8","previo")),IF(B7&lt;2,"retomado",IF(AND(C7&lt;=1,E7&gt;=3),"solo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SV",""),IF(G8="",IF(B8&gt;8,IF(C8&gt;=5,"SV tarde","despues del tramo"),IF(H8&gt;=5,"no retomado en 2-8","previo")),IF(B8&lt;2,"retomado",IF(AND(C8&lt;=1,E8&gt;=3),"solo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SV",""),IF(G9="",IF(B9&gt;8,IF(C9&gt;=5,"SV tarde","despues del tramo"),IF(H9&gt;=5,"no retomado en 2-8","previo")),IF(B9&lt;2,"retomado",IF(AND(C9&lt;=1,E9&gt;=3),"solo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SV",""),IF(G10="",IF(B10&gt;8,IF(C10&gt;=5,"SV tarde","despues del tramo"),IF(H10&gt;=5,"no retomado en 2-8","previo")),IF(B10&lt;2,"retomado",IF(AND(C10&lt;=1,E10&gt;=3),"solo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SV",""),IF(G11="",IF(B11&gt;8,IF(C11&gt;=5,"SV tarde","despues del tramo"),IF(H11&gt;=5,"no retomado en 2-8","previo")),IF(B11&lt;2,"retomado",IF(AND(C11&lt;=1,E11&gt;=3),"solo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SV",""),IF(G12="",IF(B12&gt;8,IF(C12&gt;=5,"SV tarde","despues del tramo"),IF(H12&gt;=5,"no retomado en 2-8","previo")),IF(B12&lt;2,"retomado",IF(AND(C12&lt;=1,E12&gt;=3),"solo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SV",""),IF(G13="",IF(B13&gt;8,IF(C13&gt;=5,"SV tarde","despues del tramo"),IF(H13&gt;=5,"no retomado en 2-8","previo")),IF(B13&lt;2,"retomado",IF(AND(C13&lt;=1,E13&gt;=3),"solo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SV",""),IF(G14="",IF(B14&gt;8,IF(C14&gt;=5,"SV tarde","despues del tramo"),IF(H14&gt;=5,"no retomado en 2-8","previo")),IF(B14&lt;2,"retomado",IF(AND(C14&lt;=1,E14&gt;=3),"solo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SV",""),IF(G15="",IF(B15&gt;8,IF(C15&gt;=5,"SV tarde","despues del tramo"),IF(H15&gt;=5,"no retomado en 2-8","previo")),IF(B15&lt;2,"retomado",IF(AND(C15&lt;=1,E15&gt;=3),"solo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SV",""),IF(G16="",IF(B16&gt;8,IF(C16&gt;=5,"SV tarde","despues del tramo"),IF(H16&gt;=5,"no retomado en 2-8","previo")),IF(B16&lt;2,"retomado",IF(AND(C16&lt;=1,E16&gt;=3),"solo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SV",""),IF(G17="",IF(B17&gt;8,IF(C17&gt;=5,"SV tarde","despues del tramo"),IF(H17&gt;=5,"no retomado en 2-8","previo")),IF(B17&lt;2,"retomado",IF(AND(C17&lt;=1,E17&gt;=3),"solo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SV",""),IF(G18="",IF(B18&gt;8,IF(C18&gt;=5,"SV tarde","despues del tramo"),IF(H18&gt;=5,"no retomado en 2-8","previo")),IF(B18&lt;2,"retomado",IF(AND(C18&lt;=1,E18&gt;=3),"solo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SV",""),IF(G19="",IF(B19&gt;8,IF(C19&gt;=5,"SV tarde","despues del tramo"),IF(H19&gt;=5,"no retomado en 2-8","previo")),IF(B19&lt;2,"retomado",IF(AND(C19&lt;=1,E19&gt;=3),"solo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SV",""),IF(G20="",IF(B20&gt;8,IF(C20&gt;=5,"SV tarde","despues del tramo"),IF(H20&gt;=5,"no retomado en 2-8","previo")),IF(B20&lt;2,"retomado",IF(AND(C20&lt;=1,E20&gt;=3),"solo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SV",""),IF(G21="",IF(B21&gt;8,IF(C21&gt;=5,"SV tarde","despues del tramo"),IF(H21&gt;=5,"no retomado en 2-8","previo")),IF(B21&lt;2,"retomado",IF(AND(C21&lt;=1,E21&gt;=3),"solo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SV",""),IF(G22="",IF(B22&gt;8,IF(C22&gt;=5,"SV tarde","despues del tramo"),IF(H22&gt;=5,"no retomado en 2-8","previo")),IF(B22&lt;2,"retomado",IF(AND(C22&lt;=1,E22&gt;=3),"solo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SV",""),IF(G23="",IF(B23&gt;8,IF(C23&gt;=5,"SV tarde","despues del tramo"),IF(H23&gt;=5,"no retomado en 2-8","previo")),IF(B23&lt;2,"retomado",IF(AND(C23&lt;=1,E23&gt;=3),"solo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SV",""),IF(G24="",IF(B24&gt;8,IF(C24&gt;=5,"SV tarde","despues del tramo"),IF(H24&gt;=5,"no retomado en 2-8","previo")),IF(B24&lt;2,"retomado",IF(AND(C24&lt;=1,E24&gt;=3),"solo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SV",""),IF(G25="",IF(B25&gt;8,IF(C25&gt;=5,"SV tarde","despues del tramo"),IF(H25&gt;=5,"no retomado en 2-8","previo")),IF(B25&lt;2,"retomado",IF(AND(C25&lt;=1,E25&gt;=3),"solo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SV",""),IF(G26="",IF(B26&gt;8,IF(C26&gt;=5,"SV tarde","despues del tramo"),IF(H26&gt;=5,"no retomado en 2-8","previo")),IF(B26&lt;2,"retomado",IF(AND(C26&lt;=1,E26&gt;=3),"solo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SV",""),IF(G27="",IF(B27&gt;8,IF(C27&gt;=5,"SV tarde","despues del tramo"),IF(H27&gt;=5,"no retomado en 2-8","previo")),IF(B27&lt;2,"retomado",IF(AND(C27&lt;=1,E27&gt;=3),"solo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SV",""),IF(G28="",IF(B28&gt;8,IF(C28&gt;=5,"SV tarde","despues del tramo"),IF(H28&gt;=5,"no retomado en 2-8","previo")),IF(B28&lt;2,"retomado",IF(AND(C28&lt;=1,E28&gt;=3),"solo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SV",""),IF(G29="",IF(B29&gt;8,IF(C29&gt;=5,"SV tarde","despues del tramo"),IF(H29&gt;=5,"no retomado en 2-8","previo")),IF(B29&lt;2,"retomado",IF(AND(C29&lt;=1,E29&gt;=3),"solo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SV",""),IF(G30="",IF(B30&gt;8,IF(C30&gt;=5,"SV tarde","despues del tramo"),IF(H30&gt;=5,"no retomado en 2-8","previo")),IF(B30&lt;2,"retomado",IF(AND(C30&lt;=1,E30&gt;=3),"solo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SV",""),IF(G31="",IF(B31&gt;8,IF(C31&gt;=5,"SV tarde","despues del tramo"),IF(H31&gt;=5,"no retomado en 2-8","previo")),IF(B31&lt;2,"retomado",IF(AND(C31&lt;=1,E31&gt;=3),"solo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SV",""),IF(G32="",IF(B32&gt;8,IF(C32&gt;=5,"SV tarde","despues del tramo"),IF(H32&gt;=5,"no retomado en 2-8","previo")),IF(B32&lt;2,"retomado",IF(AND(C32&lt;=1,E32&gt;=3),"solo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SV",""),IF(G33="",IF(B33&gt;8,IF(C33&gt;=5,"SV tarde","despues del tramo"),IF(H33&gt;=5,"no retomado en 2-8","previo")),IF(B33&lt;2,"retomado",IF(AND(C33&lt;=1,E33&gt;=3),"solo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SV",""),IF(G34="",IF(B34&gt;8,IF(C34&gt;=5,"SV tarde","despues del tramo"),IF(H34&gt;=5,"no retomado en 2-8","previo")),IF(B34&lt;2,"retomado",IF(AND(C34&lt;=1,E34&gt;=3),"solo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SV",""),IF(G35="",IF(B35&gt;8,IF(C35&gt;=5,"SV tarde","despues del tramo"),IF(H35&gt;=5,"no retomado en 2-8","previo")),IF(B35&lt;2,"retomado",IF(AND(C35&lt;=1,E35&gt;=3),"solo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SV",""),IF(G36="",IF(B36&gt;8,IF(C36&gt;=5,"SV tarde","despues del tramo"),IF(H36&gt;=5,"no retomado en 2-8","previo")),IF(B36&lt;2,"retomado",IF(AND(C36&lt;=1,E36&gt;=3),"solo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SV",""),IF(G37="",IF(B37&gt;8,IF(C37&gt;=5,"SV tarde","despues del tramo"),IF(H37&gt;=5,"no retomado en 2-8","previo")),IF(B37&lt;2,"retomado",IF(AND(C37&lt;=1,E37&gt;=3),"solo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SV",""),IF(G38="",IF(B38&gt;8,IF(C38&gt;=5,"SV tarde","despues del tramo"),IF(H38&gt;=5,"no retomado en 2-8","previo")),IF(B38&lt;2,"retomado",IF(AND(C38&lt;=1,E38&gt;=3),"solo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SV",""),IF(G39="",IF(B39&gt;8,IF(C39&gt;=5,"SV tarde","despues del tramo"),IF(H39&gt;=5,"no retomado en 2-8","previo")),IF(B39&lt;2,"retomado",IF(AND(C39&lt;=1,E39&gt;=3),"solo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SV",""),IF(G40="",IF(B40&gt;8,IF(C40&gt;=5,"SV tarde","despues del tramo"),IF(H40&gt;=5,"no retomado en 2-8","previo")),IF(B40&lt;2,"retomado",IF(AND(C40&lt;=1,E40&gt;=3),"solo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SV",""),IF(G41="",IF(B41&gt;8,IF(C41&gt;=5,"SV tarde","despues del tramo"),IF(H41&gt;=5,"no retomado en 2-8","previo")),IF(B41&lt;2,"retomado",IF(AND(C41&lt;=1,E41&gt;=3),"solo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SV",""),IF(G42="",IF(B42&gt;8,IF(C42&gt;=5,"SV tarde","despues del tramo"),IF(H42&gt;=5,"no retomado en 2-8","previo")),IF(B42&lt;2,"retomado",IF(AND(C42&lt;=1,E42&gt;=3),"solo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SV",""),IF(G43="",IF(B43&gt;8,IF(C43&gt;=5,"SV tarde","despues del tramo"),IF(H43&gt;=5,"no retomado en 2-8","previo")),IF(B43&lt;2,"retomado",IF(AND(C43&lt;=1,E43&gt;=3),"solo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SV",""),IF(G44="",IF(B44&gt;8,IF(C44&gt;=5,"SV tarde","despues del tramo"),IF(H44&gt;=5,"no retomado en 2-8","previo")),IF(B44&lt;2,"retomado",IF(AND(C44&lt;=1,E44&gt;=3),"solo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SV",""),IF(G45="",IF(B45&gt;8,IF(C45&gt;=5,"SV tarde","despues del tramo"),IF(H45&gt;=5,"no retomado en 2-8","previo")),IF(B45&lt;2,"retomado",IF(AND(C45&lt;=1,E45&gt;=3),"solo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SV",""),IF(G46="",IF(B46&gt;8,IF(C46&gt;=5,"SV tarde","despues del tramo"),IF(H46&gt;=5,"no retomado en 2-8","previo")),IF(B46&lt;2,"retomado",IF(AND(C46&lt;=1,E46&gt;=3),"solo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SV",""),IF(G47="",IF(B47&gt;8,IF(C47&gt;=5,"SV tarde","despues del tramo"),IF(H47&gt;=5,"no retomado en 2-8","previo")),IF(B47&lt;2,"retomado",IF(AND(C47&lt;=1,E47&gt;=3),"solo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SV",""),IF(G48="",IF(B48&gt;8,IF(C48&gt;=5,"SV tarde","despues del tramo"),IF(H48&gt;=5,"no retomado en 2-8","previo")),IF(B48&lt;2,"retomado",IF(AND(C48&lt;=1,E48&gt;=3),"solo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SV",""),IF(G49="",IF(B49&gt;8,IF(C49&gt;=5,"SV tarde","despues del tramo"),IF(H49&gt;=5,"no retomado en 2-8","previo")),IF(B49&lt;2,"retomado",IF(AND(C49&lt;=1,E49&gt;=3),"solo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SV",""),IF(G50="",IF(B50&gt;8,IF(C50&gt;=5,"SV tarde","despues del tramo"),IF(H50&gt;=5,"no retomado en 2-8","previo")),IF(B50&lt;2,"retomado",IF(AND(C50&lt;=1,E50&gt;=3),"solo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SV",""),IF(G51="",IF(B51&gt;8,IF(C51&gt;=5,"SV tarde","despues del tramo"),IF(H51&gt;=5,"no retomado en 2-8","previo")),IF(B51&lt;2,"retomado",IF(AND(C51&lt;=1,E51&gt;=3),"solo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SV",""),IF(G52="",IF(B52&gt;8,IF(C52&gt;=5,"SV tarde","despues del tramo"),IF(H52&gt;=5,"no retomado en 2-8","previo")),IF(B52&lt;2,"retomado",IF(AND(C52&lt;=1,E52&gt;=3),"solo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SV",""),IF(G53="",IF(B53&gt;8,IF(C53&gt;=5,"SV tarde","despues del tramo"),IF(H53&gt;=5,"no retomado en 2-8","previo")),IF(B53&lt;2,"retomado",IF(AND(C53&lt;=1,E53&gt;=3),"solo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SV",""),IF(G54="",IF(B54&gt;8,IF(C54&gt;=5,"SV tarde","despues del tramo"),IF(H54&gt;=5,"no retomado en 2-8","previo")),IF(B54&lt;2,"retomado",IF(AND(C54&lt;=1,E54&gt;=3),"solo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SV",""),IF(G55="",IF(B55&gt;8,IF(C55&gt;=5,"SV tarde","despues del tramo"),IF(H55&gt;=5,"no retomado en 2-8","previo")),IF(B55&lt;2,"retomado",IF(AND(C55&lt;=1,E55&gt;=3),"solo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SV",""),IF(G56="",IF(B56&gt;8,IF(C56&gt;=5,"SV tarde","despues del tramo"),IF(H56&gt;=5,"no retomado en 2-8","previo")),IF(B56&lt;2,"retomado",IF(AND(C56&lt;=1,E56&gt;=3),"solo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SV",""),IF(G57="",IF(B57&gt;8,IF(C57&gt;=5,"SV tarde","despues del tramo"),IF(H57&gt;=5,"no retomado en 2-8","previo")),IF(B57&lt;2,"retomado",IF(AND(C57&lt;=1,E57&gt;=3),"solo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SV",""),IF(G58="",IF(B58&gt;8,IF(C58&gt;=5,"SV tarde","despues del tramo"),IF(H58&gt;=5,"no retomado en 2-8","previo")),IF(B58&lt;2,"retomado",IF(AND(C58&lt;=1,E58&gt;=3),"solo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SV",""),IF(G59="",IF(B59&gt;8,IF(C59&gt;=5,"SV tarde","despues del tramo"),IF(H59&gt;=5,"no retomado en 2-8","previo")),IF(B59&lt;2,"retomado",IF(AND(C59&lt;=1,E59&gt;=3),"solo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SV",""),IF(G60="",IF(B60&gt;8,IF(C60&gt;=5,"SV tarde","despues del tramo"),IF(H60&gt;=5,"no retomado en 2-8","previo")),IF(B60&lt;2,"retomado",IF(AND(C60&lt;=1,E60&gt;=3),"solo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SV",""),IF(G61="",IF(B61&gt;8,IF(C61&gt;=5,"SV tarde","despues del tramo"),IF(H61&gt;=5,"no retomado en 2-8","previo")),IF(B61&lt;2,"retomado",IF(AND(C61&lt;=1,E61&gt;=3),"solo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SV",""),IF(G62="",IF(B62&gt;8,IF(C62&gt;=5,"SV tarde","despues del tramo"),IF(H62&gt;=5,"no retomado en 2-8","previo")),IF(B62&lt;2,"retomado",IF(AND(C62&lt;=1,E62&gt;=3),"solo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SV",""),IF(G63="",IF(B63&gt;8,IF(C63&gt;=5,"SV tarde","despues del tramo"),IF(H63&gt;=5,"no retomado en 2-8","previo")),IF(B63&lt;2,"retomado",IF(AND(C63&lt;=1,E63&gt;=3),"solo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SV",""),IF(G64="",IF(B64&gt;8,IF(C64&gt;=5,"SV tarde","despues del tramo"),IF(H64&gt;=5,"no retomado en 2-8","previo")),IF(B64&lt;2,"retomado",IF(AND(C64&lt;=1,E64&gt;=3),"solo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SV",""),IF(G65="",IF(B65&gt;8,IF(C65&gt;=5,"SV tarde","despues del tramo"),IF(H65&gt;=5,"no retomado en 2-8","previo")),IF(B65&lt;2,"retomado",IF(AND(C65&lt;=1,E65&gt;=3),"solo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SV",""),IF(G66="",IF(B66&gt;8,IF(C66&gt;=5,"SV tarde","despues del tramo"),IF(H66&gt;=5,"no retomado en 2-8","previo")),IF(B66&lt;2,"retomado",IF(AND(C66&lt;=1,E66&gt;=3),"solo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SV",""),IF(G67="",IF(B67&gt;8,IF(C67&gt;=5,"SV tarde","despues del tramo"),IF(H67&gt;=5,"no retomado en 2-8","previo")),IF(B67&lt;2,"retomado",IF(AND(C67&lt;=1,E67&gt;=3),"solo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SV",""),IF(G68="",IF(B68&gt;8,IF(C68&gt;=5,"SV tarde","despues del tramo"),IF(H68&gt;=5,"no retomado en 2-8","previo")),IF(B68&lt;2,"retomado",IF(AND(C68&lt;=1,E68&gt;=3),"solo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SV",""),IF(G69="",IF(B69&gt;8,IF(C69&gt;=5,"SV tarde","despues del tramo"),IF(H69&gt;=5,"no retomado en 2-8","previo")),IF(B69&lt;2,"retomado",IF(AND(C69&lt;=1,E69&gt;=3),"solo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SV",""),IF(G70="",IF(B70&gt;8,IF(C70&gt;=5,"SV tarde","despues del tramo"),IF(H70&gt;=5,"no retomado en 2-8","previo")),IF(B70&lt;2,"retomado",IF(AND(C70&lt;=1,E70&gt;=3),"solo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SV",""),IF(G71="",IF(B71&gt;8,IF(C71&gt;=5,"SV tarde","despues del tramo"),IF(H71&gt;=5,"no retomado en 2-8","previo")),IF(B71&lt;2,"retomado",IF(AND(C71&lt;=1,E71&gt;=3),"solo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SV",""),IF(G72="",IF(B72&gt;8,IF(C72&gt;=5,"SV tarde","despues del tramo"),IF(H72&gt;=5,"no retomado en 2-8","previo")),IF(B72&lt;2,"retomado",IF(AND(C72&lt;=1,E72&gt;=3),"solo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SV",""),IF(G73="",IF(B73&gt;8,IF(C73&gt;=5,"SV tarde","despues del tramo"),IF(H73&gt;=5,"no retomado en 2-8","previo")),IF(B73&lt;2,"retomado",IF(AND(C73&lt;=1,E73&gt;=3),"solo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SV",""),IF(G74="",IF(B74&gt;8,IF(C74&gt;=5,"SV tarde","despues del tramo"),IF(H74&gt;=5,"no retomado en 2-8","previo")),IF(B74&lt;2,"retomado",IF(AND(C74&lt;=1,E74&gt;=3),"solo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SV",""),IF(G75="",IF(B75&gt;8,IF(C75&gt;=5,"SV tarde","despues del tramo"),IF(H75&gt;=5,"no retomado en 2-8","previo")),IF(B75&lt;2,"retomado",IF(AND(C75&lt;=1,E75&gt;=3),"solo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SV",""),IF(G76="",IF(B76&gt;8,IF(C76&gt;=5,"SV tarde","despues del tramo"),IF(H76&gt;=5,"no retomado en 2-8","previo")),IF(B76&lt;2,"retomado",IF(AND(C76&lt;=1,E76&gt;=3),"solo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SV",""),IF(G77="",IF(B77&gt;8,IF(C77&gt;=5,"SV tarde","despues del tramo"),IF(H77&gt;=5,"no retomado en 2-8","previo")),IF(B77&lt;2,"retomado",IF(AND(C77&lt;=1,E77&gt;=3),"solo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SV",""),IF(G78="",IF(B78&gt;8,IF(C78&gt;=5,"SV tarde","despues del tramo"),IF(H78&gt;=5,"no retomado en 2-8","previo")),IF(B78&lt;2,"retomado",IF(AND(C78&lt;=1,E78&gt;=3),"solo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SV",""),IF(G79="",IF(B79&gt;8,IF(C79&gt;=5,"SV tarde","despues del tramo"),IF(H79&gt;=5,"no retomado en 2-8","previo")),IF(B79&lt;2,"retomado",IF(AND(C79&lt;=1,E79&gt;=3),"solo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SV",""),IF(G80="",IF(B80&gt;8,IF(C80&gt;=5,"SV tarde","despues del tramo"),IF(H80&gt;=5,"no retomado en 2-8","previo")),IF(B80&lt;2,"retomado",IF(AND(C80&lt;=1,E80&gt;=3),"solo especializacion",IF(F80="","coherente",IF(F80&lt;=-1.5,"SV adelantado",IF(F80&gt;=2,"SV tarde","coherente")))))))</f>
        <v/>
      </c>
      <c r="J80">
        <f>Datos!B80</f>
        <v/>
      </c>
    </row>
    <row r="81">
      <c r="A81">
        <f>Datos!A81</f>
        <v/>
      </c>
      <c r="B81">
        <f>IF(Datos!C81="","",Datos!C81)</f>
        <v/>
      </c>
      <c r="C81">
        <f>COUNT(Datos!E81:M81)</f>
        <v/>
      </c>
      <c r="D81">
        <f>IF(C81=0,"",MEDIAN(Datos!E81:M81))</f>
        <v/>
      </c>
      <c r="E81">
        <f>COUNT(Datos!W81:AE81)</f>
        <v/>
      </c>
      <c r="F81">
        <f>IF(OR(B81="",D81=""),"",B81-D81)</f>
        <v/>
      </c>
      <c r="G81">
        <f>IF(Datos!D81="","",Datos!D81)</f>
        <v/>
      </c>
      <c r="H81">
        <f>COUNT(Datos!N81:V81)</f>
        <v/>
      </c>
      <c r="I81">
        <f>IF(B81="",IF(C81&gt;=5,"falta en SV",""),IF(G81="",IF(B81&gt;8,IF(C81&gt;=5,"SV tarde","despues del tramo"),IF(H81&gt;=5,"no retomado en 2-8","previo")),IF(B81&lt;2,"retomado",IF(AND(C81&lt;=1,E81&gt;=3),"solo especializacion",IF(F81="","coherente",IF(F81&lt;=-1.5,"SV adelantado",IF(F81&gt;=2,"SV tarde","coherente")))))))</f>
        <v/>
      </c>
      <c r="J81">
        <f>Datos!B81</f>
        <v/>
      </c>
    </row>
    <row r="82">
      <c r="A82">
        <f>Datos!A82</f>
        <v/>
      </c>
      <c r="B82">
        <f>IF(Datos!C82="","",Datos!C82)</f>
        <v/>
      </c>
      <c r="C82">
        <f>COUNT(Datos!E82:M82)</f>
        <v/>
      </c>
      <c r="D82">
        <f>IF(C82=0,"",MEDIAN(Datos!E82:M82))</f>
        <v/>
      </c>
      <c r="E82">
        <f>COUNT(Datos!W82:AE82)</f>
        <v/>
      </c>
      <c r="F82">
        <f>IF(OR(B82="",D82=""),"",B82-D82)</f>
        <v/>
      </c>
      <c r="G82">
        <f>IF(Datos!D82="","",Datos!D82)</f>
        <v/>
      </c>
      <c r="H82">
        <f>COUNT(Datos!N82:V82)</f>
        <v/>
      </c>
      <c r="I82">
        <f>IF(B82="",IF(C82&gt;=5,"falta en SV",""),IF(G82="",IF(B82&gt;8,IF(C82&gt;=5,"SV tarde","despues del tramo"),IF(H82&gt;=5,"no retomado en 2-8","previo")),IF(B82&lt;2,"retomado",IF(AND(C82&lt;=1,E82&gt;=3),"solo especializacion",IF(F82="","coherente",IF(F82&lt;=-1.5,"SV adelantado",IF(F82&gt;=2,"SV tarde","coherente")))))))</f>
        <v/>
      </c>
      <c r="J82">
        <f>Datos!B82</f>
        <v/>
      </c>
    </row>
    <row r="83">
      <c r="A83">
        <f>Datos!A83</f>
        <v/>
      </c>
      <c r="B83">
        <f>IF(Datos!C83="","",Datos!C83)</f>
        <v/>
      </c>
      <c r="C83">
        <f>COUNT(Datos!E83:M83)</f>
        <v/>
      </c>
      <c r="D83">
        <f>IF(C83=0,"",MEDIAN(Datos!E83:M83))</f>
        <v/>
      </c>
      <c r="E83">
        <f>COUNT(Datos!W83:AE83)</f>
        <v/>
      </c>
      <c r="F83">
        <f>IF(OR(B83="",D83=""),"",B83-D83)</f>
        <v/>
      </c>
      <c r="G83">
        <f>IF(Datos!D83="","",Datos!D83)</f>
        <v/>
      </c>
      <c r="H83">
        <f>COUNT(Datos!N83:V83)</f>
        <v/>
      </c>
      <c r="I83">
        <f>IF(B83="",IF(C83&gt;=5,"falta en SV",""),IF(G83="",IF(B83&gt;8,IF(C83&gt;=5,"SV tarde","despues del tramo"),IF(H83&gt;=5,"no retomado en 2-8","previo")),IF(B83&lt;2,"retomado",IF(AND(C83&lt;=1,E83&gt;=3),"solo especializacion",IF(F83="","coherente",IF(F83&lt;=-1.5,"SV adelantado",IF(F83&gt;=2,"SV tarde","coherente")))))))</f>
        <v/>
      </c>
      <c r="J83">
        <f>Datos!B83</f>
        <v/>
      </c>
    </row>
    <row r="84">
      <c r="A84">
        <f>Datos!A84</f>
        <v/>
      </c>
      <c r="B84">
        <f>IF(Datos!C84="","",Datos!C84)</f>
        <v/>
      </c>
      <c r="C84">
        <f>COUNT(Datos!E84:M84)</f>
        <v/>
      </c>
      <c r="D84">
        <f>IF(C84=0,"",MEDIAN(Datos!E84:M84))</f>
        <v/>
      </c>
      <c r="E84">
        <f>COUNT(Datos!W84:AE84)</f>
        <v/>
      </c>
      <c r="F84">
        <f>IF(OR(B84="",D84=""),"",B84-D84)</f>
        <v/>
      </c>
      <c r="G84">
        <f>IF(Datos!D84="","",Datos!D84)</f>
        <v/>
      </c>
      <c r="H84">
        <f>COUNT(Datos!N84:V84)</f>
        <v/>
      </c>
      <c r="I84">
        <f>IF(B84="",IF(C84&gt;=5,"falta en SV",""),IF(G84="",IF(B84&gt;8,IF(C84&gt;=5,"SV tarde","despues del tramo"),IF(H84&gt;=5,"no retomado en 2-8","previo")),IF(B84&lt;2,"retomado",IF(AND(C84&lt;=1,E84&gt;=3),"solo especializacion",IF(F84="","coherente",IF(F84&lt;=-1.5,"SV adelantado",IF(F84&gt;=2,"SV tarde","coherente")))))))</f>
        <v/>
      </c>
      <c r="J84">
        <f>Datos!B84</f>
        <v/>
      </c>
    </row>
    <row r="85">
      <c r="A85">
        <f>Datos!A85</f>
        <v/>
      </c>
      <c r="B85">
        <f>IF(Datos!C85="","",Datos!C85)</f>
        <v/>
      </c>
      <c r="C85">
        <f>COUNT(Datos!E85:M85)</f>
        <v/>
      </c>
      <c r="D85">
        <f>IF(C85=0,"",MEDIAN(Datos!E85:M85))</f>
        <v/>
      </c>
      <c r="E85">
        <f>COUNT(Datos!W85:AE85)</f>
        <v/>
      </c>
      <c r="F85">
        <f>IF(OR(B85="",D85=""),"",B85-D85)</f>
        <v/>
      </c>
      <c r="G85">
        <f>IF(Datos!D85="","",Datos!D85)</f>
        <v/>
      </c>
      <c r="H85">
        <f>COUNT(Datos!N85:V85)</f>
        <v/>
      </c>
      <c r="I85">
        <f>IF(B85="",IF(C85&gt;=5,"falta en SV",""),IF(G85="",IF(B85&gt;8,IF(C85&gt;=5,"SV tarde","despues del tramo"),IF(H85&gt;=5,"no retomado en 2-8","previo")),IF(B85&lt;2,"retomado",IF(AND(C85&lt;=1,E85&gt;=3),"solo especializacion",IF(F85="","coherente",IF(F85&lt;=-1.5,"SV adelantado",IF(F85&gt;=2,"SV tarde","coherente")))))))</f>
        <v/>
      </c>
      <c r="J85">
        <f>Datos!B85</f>
        <v/>
      </c>
    </row>
    <row r="86">
      <c r="A86">
        <f>Datos!A86</f>
        <v/>
      </c>
      <c r="B86">
        <f>IF(Datos!C86="","",Datos!C86)</f>
        <v/>
      </c>
      <c r="C86">
        <f>COUNT(Datos!E86:M86)</f>
        <v/>
      </c>
      <c r="D86">
        <f>IF(C86=0,"",MEDIAN(Datos!E86:M86))</f>
        <v/>
      </c>
      <c r="E86">
        <f>COUNT(Datos!W86:AE86)</f>
        <v/>
      </c>
      <c r="F86">
        <f>IF(OR(B86="",D86=""),"",B86-D86)</f>
        <v/>
      </c>
      <c r="G86">
        <f>IF(Datos!D86="","",Datos!D86)</f>
        <v/>
      </c>
      <c r="H86">
        <f>COUNT(Datos!N86:V86)</f>
        <v/>
      </c>
      <c r="I86">
        <f>IF(B86="",IF(C86&gt;=5,"falta en SV",""),IF(G86="",IF(B86&gt;8,IF(C86&gt;=5,"SV tarde","despues del tramo"),IF(H86&gt;=5,"no retomado en 2-8","previo")),IF(B86&lt;2,"retomado",IF(AND(C86&lt;=1,E86&gt;=3),"solo especializacion",IF(F86="","coherente",IF(F86&lt;=-1.5,"SV adelantado",IF(F86&gt;=2,"SV tarde","coherente")))))))</f>
        <v/>
      </c>
      <c r="J86">
        <f>Datos!B86</f>
        <v/>
      </c>
    </row>
    <row r="87">
      <c r="A87">
        <f>Datos!A87</f>
        <v/>
      </c>
      <c r="B87">
        <f>IF(Datos!C87="","",Datos!C87)</f>
        <v/>
      </c>
      <c r="C87">
        <f>COUNT(Datos!E87:M87)</f>
        <v/>
      </c>
      <c r="D87">
        <f>IF(C87=0,"",MEDIAN(Datos!E87:M87))</f>
        <v/>
      </c>
      <c r="E87">
        <f>COUNT(Datos!W87:AE87)</f>
        <v/>
      </c>
      <c r="F87">
        <f>IF(OR(B87="",D87=""),"",B87-D87)</f>
        <v/>
      </c>
      <c r="G87">
        <f>IF(Datos!D87="","",Datos!D87)</f>
        <v/>
      </c>
      <c r="H87">
        <f>COUNT(Datos!N87:V87)</f>
        <v/>
      </c>
      <c r="I87">
        <f>IF(B87="",IF(C87&gt;=5,"falta en SV",""),IF(G87="",IF(B87&gt;8,IF(C87&gt;=5,"SV tarde","despues del tramo"),IF(H87&gt;=5,"no retomado en 2-8","previo")),IF(B87&lt;2,"retomado",IF(AND(C87&lt;=1,E87&gt;=3),"solo especializacion",IF(F87="","coherente",IF(F87&lt;=-1.5,"SV adelantado",IF(F87&gt;=2,"SV tarde","coherente")))))))</f>
        <v/>
      </c>
      <c r="J87">
        <f>Datos!B87</f>
        <v/>
      </c>
    </row>
    <row r="88">
      <c r="A88">
        <f>Datos!A88</f>
        <v/>
      </c>
      <c r="B88">
        <f>IF(Datos!C88="","",Datos!C88)</f>
        <v/>
      </c>
      <c r="C88">
        <f>COUNT(Datos!E88:M88)</f>
        <v/>
      </c>
      <c r="D88">
        <f>IF(C88=0,"",MEDIAN(Datos!E88:M88))</f>
        <v/>
      </c>
      <c r="E88">
        <f>COUNT(Datos!W88:AE88)</f>
        <v/>
      </c>
      <c r="F88">
        <f>IF(OR(B88="",D88=""),"",B88-D88)</f>
        <v/>
      </c>
      <c r="G88">
        <f>IF(Datos!D88="","",Datos!D88)</f>
        <v/>
      </c>
      <c r="H88">
        <f>COUNT(Datos!N88:V88)</f>
        <v/>
      </c>
      <c r="I88">
        <f>IF(B88="",IF(C88&gt;=5,"falta en SV",""),IF(G88="",IF(B88&gt;8,IF(C88&gt;=5,"SV tarde","despues del tramo"),IF(H88&gt;=5,"no retomado en 2-8","previo")),IF(B88&lt;2,"retomado",IF(AND(C88&lt;=1,E88&gt;=3),"solo especializacion",IF(F88="","coherente",IF(F88&lt;=-1.5,"SV adelantado",IF(F88&gt;=2,"SV tarde","coherente")))))))</f>
        <v/>
      </c>
      <c r="J88">
        <f>Datos!B88</f>
        <v/>
      </c>
    </row>
    <row r="89">
      <c r="A89">
        <f>Datos!A89</f>
        <v/>
      </c>
      <c r="B89">
        <f>IF(Datos!C89="","",Datos!C89)</f>
        <v/>
      </c>
      <c r="C89">
        <f>COUNT(Datos!E89:M89)</f>
        <v/>
      </c>
      <c r="D89">
        <f>IF(C89=0,"",MEDIAN(Datos!E89:M89))</f>
        <v/>
      </c>
      <c r="E89">
        <f>COUNT(Datos!W89:AE89)</f>
        <v/>
      </c>
      <c r="F89">
        <f>IF(OR(B89="",D89=""),"",B89-D89)</f>
        <v/>
      </c>
      <c r="G89">
        <f>IF(Datos!D89="","",Datos!D89)</f>
        <v/>
      </c>
      <c r="H89">
        <f>COUNT(Datos!N89:V89)</f>
        <v/>
      </c>
      <c r="I89">
        <f>IF(B89="",IF(C89&gt;=5,"falta en SV",""),IF(G89="",IF(B89&gt;8,IF(C89&gt;=5,"SV tarde","despues del tramo"),IF(H89&gt;=5,"no retomado en 2-8","previo")),IF(B89&lt;2,"retomado",IF(AND(C89&lt;=1,E89&gt;=3),"solo especializacion",IF(F89="","coherente",IF(F89&lt;=-1.5,"SV adelantado",IF(F89&gt;=2,"SV tarde","coherente")))))))</f>
        <v/>
      </c>
      <c r="J89">
        <f>Datos!B89</f>
        <v/>
      </c>
    </row>
    <row r="90">
      <c r="A90">
        <f>Datos!A90</f>
        <v/>
      </c>
      <c r="B90">
        <f>IF(Datos!C90="","",Datos!C90)</f>
        <v/>
      </c>
      <c r="C90">
        <f>COUNT(Datos!E90:M90)</f>
        <v/>
      </c>
      <c r="D90">
        <f>IF(C90=0,"",MEDIAN(Datos!E90:M90))</f>
        <v/>
      </c>
      <c r="E90">
        <f>COUNT(Datos!W90:AE90)</f>
        <v/>
      </c>
      <c r="F90">
        <f>IF(OR(B90="",D90=""),"",B90-D90)</f>
        <v/>
      </c>
      <c r="G90">
        <f>IF(Datos!D90="","",Datos!D90)</f>
        <v/>
      </c>
      <c r="H90">
        <f>COUNT(Datos!N90:V90)</f>
        <v/>
      </c>
      <c r="I90">
        <f>IF(B90="",IF(C90&gt;=5,"falta en SV",""),IF(G90="",IF(B90&gt;8,IF(C90&gt;=5,"SV tarde","despues del tramo"),IF(H90&gt;=5,"no retomado en 2-8","previo")),IF(B90&lt;2,"retomado",IF(AND(C90&lt;=1,E90&gt;=3),"solo especializacion",IF(F90="","coherente",IF(F90&lt;=-1.5,"SV adelantado",IF(F90&gt;=2,"SV tarde","coherente")))))))</f>
        <v/>
      </c>
      <c r="J90">
        <f>Datos!B90</f>
        <v/>
      </c>
    </row>
    <row r="91">
      <c r="A91">
        <f>Datos!A91</f>
        <v/>
      </c>
      <c r="B91">
        <f>IF(Datos!C91="","",Datos!C91)</f>
        <v/>
      </c>
      <c r="C91">
        <f>COUNT(Datos!E91:M91)</f>
        <v/>
      </c>
      <c r="D91">
        <f>IF(C91=0,"",MEDIAN(Datos!E91:M91))</f>
        <v/>
      </c>
      <c r="E91">
        <f>COUNT(Datos!W91:AE91)</f>
        <v/>
      </c>
      <c r="F91">
        <f>IF(OR(B91="",D91=""),"",B91-D91)</f>
        <v/>
      </c>
      <c r="G91">
        <f>IF(Datos!D91="","",Datos!D91)</f>
        <v/>
      </c>
      <c r="H91">
        <f>COUNT(Datos!N91:V91)</f>
        <v/>
      </c>
      <c r="I91">
        <f>IF(B91="",IF(C91&gt;=5,"falta en SV",""),IF(G91="",IF(B91&gt;8,IF(C91&gt;=5,"SV tarde","despues del tramo"),IF(H91&gt;=5,"no retomado en 2-8","previo")),IF(B91&lt;2,"retomado",IF(AND(C91&lt;=1,E91&gt;=3),"solo especializacion",IF(F91="","coherente",IF(F91&lt;=-1.5,"SV adelantado",IF(F91&gt;=2,"SV tarde","coherente")))))))</f>
        <v/>
      </c>
      <c r="J91">
        <f>Datos!B91</f>
        <v/>
      </c>
    </row>
    <row r="92">
      <c r="A92">
        <f>Datos!A92</f>
        <v/>
      </c>
      <c r="B92">
        <f>IF(Datos!C92="","",Datos!C92)</f>
        <v/>
      </c>
      <c r="C92">
        <f>COUNT(Datos!E92:M92)</f>
        <v/>
      </c>
      <c r="D92">
        <f>IF(C92=0,"",MEDIAN(Datos!E92:M92))</f>
        <v/>
      </c>
      <c r="E92">
        <f>COUNT(Datos!W92:AE92)</f>
        <v/>
      </c>
      <c r="F92">
        <f>IF(OR(B92="",D92=""),"",B92-D92)</f>
        <v/>
      </c>
      <c r="G92">
        <f>IF(Datos!D92="","",Datos!D92)</f>
        <v/>
      </c>
      <c r="H92">
        <f>COUNT(Datos!N92:V92)</f>
        <v/>
      </c>
      <c r="I92">
        <f>IF(B92="",IF(C92&gt;=5,"falta en SV",""),IF(G92="",IF(B92&gt;8,IF(C92&gt;=5,"SV tarde","despues del tramo"),IF(H92&gt;=5,"no retomado en 2-8","previo")),IF(B92&lt;2,"retomado",IF(AND(C92&lt;=1,E92&gt;=3),"solo especializacion",IF(F92="","coherente",IF(F92&lt;=-1.5,"SV adelantado",IF(F92&gt;=2,"SV tarde","coherente")))))))</f>
        <v/>
      </c>
      <c r="J92">
        <f>Datos!B92</f>
        <v/>
      </c>
    </row>
    <row r="93">
      <c r="A93">
        <f>Datos!A93</f>
        <v/>
      </c>
      <c r="B93">
        <f>IF(Datos!C93="","",Datos!C93)</f>
        <v/>
      </c>
      <c r="C93">
        <f>COUNT(Datos!E93:M93)</f>
        <v/>
      </c>
      <c r="D93">
        <f>IF(C93=0,"",MEDIAN(Datos!E93:M93))</f>
        <v/>
      </c>
      <c r="E93">
        <f>COUNT(Datos!W93:AE93)</f>
        <v/>
      </c>
      <c r="F93">
        <f>IF(OR(B93="",D93=""),"",B93-D93)</f>
        <v/>
      </c>
      <c r="G93">
        <f>IF(Datos!D93="","",Datos!D93)</f>
        <v/>
      </c>
      <c r="H93">
        <f>COUNT(Datos!N93:V93)</f>
        <v/>
      </c>
      <c r="I93">
        <f>IF(B93="",IF(C93&gt;=5,"falta en SV",""),IF(G93="",IF(B93&gt;8,IF(C93&gt;=5,"SV tarde","despues del tramo"),IF(H93&gt;=5,"no retomado en 2-8","previo")),IF(B93&lt;2,"retomado",IF(AND(C93&lt;=1,E93&gt;=3),"solo especializacion",IF(F93="","coherente",IF(F93&lt;=-1.5,"SV adelantado",IF(F93&gt;=2,"SV tarde","coherente")))))))</f>
        <v/>
      </c>
      <c r="J93">
        <f>Datos!B93</f>
        <v/>
      </c>
    </row>
    <row r="94">
      <c r="A94">
        <f>Datos!A94</f>
        <v/>
      </c>
      <c r="B94">
        <f>IF(Datos!C94="","",Datos!C94)</f>
        <v/>
      </c>
      <c r="C94">
        <f>COUNT(Datos!E94:M94)</f>
        <v/>
      </c>
      <c r="D94">
        <f>IF(C94=0,"",MEDIAN(Datos!E94:M94))</f>
        <v/>
      </c>
      <c r="E94">
        <f>COUNT(Datos!W94:AE94)</f>
        <v/>
      </c>
      <c r="F94">
        <f>IF(OR(B94="",D94=""),"",B94-D94)</f>
        <v/>
      </c>
      <c r="G94">
        <f>IF(Datos!D94="","",Datos!D94)</f>
        <v/>
      </c>
      <c r="H94">
        <f>COUNT(Datos!N94:V94)</f>
        <v/>
      </c>
      <c r="I94">
        <f>IF(B94="",IF(C94&gt;=5,"falta en SV",""),IF(G94="",IF(B94&gt;8,IF(C94&gt;=5,"SV tarde","despues del tramo"),IF(H94&gt;=5,"no retomado en 2-8","previo")),IF(B94&lt;2,"retomado",IF(AND(C94&lt;=1,E94&gt;=3),"solo especializacion",IF(F94="","coherente",IF(F94&lt;=-1.5,"SV adelantado",IF(F94&gt;=2,"SV tarde","coherente")))))))</f>
        <v/>
      </c>
      <c r="J94">
        <f>Datos!B94</f>
        <v/>
      </c>
    </row>
    <row r="95">
      <c r="A95">
        <f>Datos!A95</f>
        <v/>
      </c>
      <c r="B95">
        <f>IF(Datos!C95="","",Datos!C95)</f>
        <v/>
      </c>
      <c r="C95">
        <f>COUNT(Datos!E95:M95)</f>
        <v/>
      </c>
      <c r="D95">
        <f>IF(C95=0,"",MEDIAN(Datos!E95:M95))</f>
        <v/>
      </c>
      <c r="E95">
        <f>COUNT(Datos!W95:AE95)</f>
        <v/>
      </c>
      <c r="F95">
        <f>IF(OR(B95="",D95=""),"",B95-D95)</f>
        <v/>
      </c>
      <c r="G95">
        <f>IF(Datos!D95="","",Datos!D95)</f>
        <v/>
      </c>
      <c r="H95">
        <f>COUNT(Datos!N95:V95)</f>
        <v/>
      </c>
      <c r="I95">
        <f>IF(B95="",IF(C95&gt;=5,"falta en SV",""),IF(G95="",IF(B95&gt;8,IF(C95&gt;=5,"SV tarde","despues del tramo"),IF(H95&gt;=5,"no retomado en 2-8","previo")),IF(B95&lt;2,"retomado",IF(AND(C95&lt;=1,E95&gt;=3),"solo especializacion",IF(F95="","coherente",IF(F95&lt;=-1.5,"SV adelantado",IF(F95&gt;=2,"SV tarde","coherente")))))))</f>
        <v/>
      </c>
      <c r="J95">
        <f>Datos!B95</f>
        <v/>
      </c>
    </row>
    <row r="96">
      <c r="A96">
        <f>Datos!A96</f>
        <v/>
      </c>
      <c r="B96">
        <f>IF(Datos!C96="","",Datos!C96)</f>
        <v/>
      </c>
      <c r="C96">
        <f>COUNT(Datos!E96:M96)</f>
        <v/>
      </c>
      <c r="D96">
        <f>IF(C96=0,"",MEDIAN(Datos!E96:M96))</f>
        <v/>
      </c>
      <c r="E96">
        <f>COUNT(Datos!W96:AE96)</f>
        <v/>
      </c>
      <c r="F96">
        <f>IF(OR(B96="",D96=""),"",B96-D96)</f>
        <v/>
      </c>
      <c r="G96">
        <f>IF(Datos!D96="","",Datos!D96)</f>
        <v/>
      </c>
      <c r="H96">
        <f>COUNT(Datos!N96:V96)</f>
        <v/>
      </c>
      <c r="I96">
        <f>IF(B96="",IF(C96&gt;=5,"falta en SV",""),IF(G96="",IF(B96&gt;8,IF(C96&gt;=5,"SV tarde","despues del tramo"),IF(H96&gt;=5,"no retomado en 2-8","previo")),IF(B96&lt;2,"retomado",IF(AND(C96&lt;=1,E96&gt;=3),"solo especializacion",IF(F96="","coherente",IF(F96&lt;=-1.5,"SV adelantado",IF(F96&gt;=2,"SV tarde","coherente")))))))</f>
        <v/>
      </c>
      <c r="J96">
        <f>Datos!B96</f>
        <v/>
      </c>
    </row>
    <row r="97">
      <c r="A97">
        <f>Datos!A97</f>
        <v/>
      </c>
      <c r="B97">
        <f>IF(Datos!C97="","",Datos!C97)</f>
        <v/>
      </c>
      <c r="C97">
        <f>COUNT(Datos!E97:M97)</f>
        <v/>
      </c>
      <c r="D97">
        <f>IF(C97=0,"",MEDIAN(Datos!E97:M97))</f>
        <v/>
      </c>
      <c r="E97">
        <f>COUNT(Datos!W97:AE97)</f>
        <v/>
      </c>
      <c r="F97">
        <f>IF(OR(B97="",D97=""),"",B97-D97)</f>
        <v/>
      </c>
      <c r="G97">
        <f>IF(Datos!D97="","",Datos!D97)</f>
        <v/>
      </c>
      <c r="H97">
        <f>COUNT(Datos!N97:V97)</f>
        <v/>
      </c>
      <c r="I97">
        <f>IF(B97="",IF(C97&gt;=5,"falta en SV",""),IF(G97="",IF(B97&gt;8,IF(C97&gt;=5,"SV tarde","despues del tramo"),IF(H97&gt;=5,"no retomado en 2-8","previo")),IF(B97&lt;2,"retomado",IF(AND(C97&lt;=1,E97&gt;=3),"solo especializacion",IF(F97="","coherente",IF(F97&lt;=-1.5,"SV adelantado",IF(F97&gt;=2,"SV tarde","coherente")))))))</f>
        <v/>
      </c>
      <c r="J97">
        <f>Datos!B97</f>
        <v/>
      </c>
    </row>
    <row r="98">
      <c r="A98">
        <f>Datos!A98</f>
        <v/>
      </c>
      <c r="B98">
        <f>IF(Datos!C98="","",Datos!C98)</f>
        <v/>
      </c>
      <c r="C98">
        <f>COUNT(Datos!E98:M98)</f>
        <v/>
      </c>
      <c r="D98">
        <f>IF(C98=0,"",MEDIAN(Datos!E98:M98))</f>
        <v/>
      </c>
      <c r="E98">
        <f>COUNT(Datos!W98:AE98)</f>
        <v/>
      </c>
      <c r="F98">
        <f>IF(OR(B98="",D98=""),"",B98-D98)</f>
        <v/>
      </c>
      <c r="G98">
        <f>IF(Datos!D98="","",Datos!D98)</f>
        <v/>
      </c>
      <c r="H98">
        <f>COUNT(Datos!N98:V98)</f>
        <v/>
      </c>
      <c r="I98">
        <f>IF(B98="",IF(C98&gt;=5,"falta en SV",""),IF(G98="",IF(B98&gt;8,IF(C98&gt;=5,"SV tarde","despues del tramo"),IF(H98&gt;=5,"no retomado en 2-8","previo")),IF(B98&lt;2,"retomado",IF(AND(C98&lt;=1,E98&gt;=3),"solo especializacion",IF(F98="","coherente",IF(F98&lt;=-1.5,"SV adelantado",IF(F98&gt;=2,"SV tarde","coherente")))))))</f>
        <v/>
      </c>
      <c r="J98">
        <f>Datos!B98</f>
        <v/>
      </c>
    </row>
    <row r="99">
      <c r="A99">
        <f>Datos!A99</f>
        <v/>
      </c>
      <c r="B99">
        <f>IF(Datos!C99="","",Datos!C99)</f>
        <v/>
      </c>
      <c r="C99">
        <f>COUNT(Datos!E99:M99)</f>
        <v/>
      </c>
      <c r="D99">
        <f>IF(C99=0,"",MEDIAN(Datos!E99:M99))</f>
        <v/>
      </c>
      <c r="E99">
        <f>COUNT(Datos!W99:AE99)</f>
        <v/>
      </c>
      <c r="F99">
        <f>IF(OR(B99="",D99=""),"",B99-D99)</f>
        <v/>
      </c>
      <c r="G99">
        <f>IF(Datos!D99="","",Datos!D99)</f>
        <v/>
      </c>
      <c r="H99">
        <f>COUNT(Datos!N99:V99)</f>
        <v/>
      </c>
      <c r="I99">
        <f>IF(B99="",IF(C99&gt;=5,"falta en SV",""),IF(G99="",IF(B99&gt;8,IF(C99&gt;=5,"SV tarde","despues del tramo"),IF(H99&gt;=5,"no retomado en 2-8","previo")),IF(B99&lt;2,"retomado",IF(AND(C99&lt;=1,E99&gt;=3),"solo especializacion",IF(F99="","coherente",IF(F99&lt;=-1.5,"SV adelantado",IF(F99&gt;=2,"SV tarde","coherente")))))))</f>
        <v/>
      </c>
      <c r="J99">
        <f>Datos!B99</f>
        <v/>
      </c>
    </row>
    <row r="100">
      <c r="A100">
        <f>Datos!A100</f>
        <v/>
      </c>
      <c r="B100">
        <f>IF(Datos!C100="","",Datos!C100)</f>
        <v/>
      </c>
      <c r="C100">
        <f>COUNT(Datos!E100:M100)</f>
        <v/>
      </c>
      <c r="D100">
        <f>IF(C100=0,"",MEDIAN(Datos!E100:M100))</f>
        <v/>
      </c>
      <c r="E100">
        <f>COUNT(Datos!W100:AE100)</f>
        <v/>
      </c>
      <c r="F100">
        <f>IF(OR(B100="",D100=""),"",B100-D100)</f>
        <v/>
      </c>
      <c r="G100">
        <f>IF(Datos!D100="","",Datos!D100)</f>
        <v/>
      </c>
      <c r="H100">
        <f>COUNT(Datos!N100:V100)</f>
        <v/>
      </c>
      <c r="I100">
        <f>IF(B100="",IF(C100&gt;=5,"falta en SV",""),IF(G100="",IF(B100&gt;8,IF(C100&gt;=5,"SV tarde","despues del tramo"),IF(H100&gt;=5,"no retomado en 2-8","previo")),IF(B100&lt;2,"retomado",IF(AND(C100&lt;=1,E100&gt;=3),"solo especializacion",IF(F100="","coherente",IF(F100&lt;=-1.5,"SV adelantado",IF(F100&gt;=2,"SV tarde","coherente")))))))</f>
        <v/>
      </c>
      <c r="J100">
        <f>Datos!B100</f>
        <v/>
      </c>
    </row>
    <row r="101">
      <c r="A101">
        <f>Datos!A101</f>
        <v/>
      </c>
      <c r="B101">
        <f>IF(Datos!C101="","",Datos!C101)</f>
        <v/>
      </c>
      <c r="C101">
        <f>COUNT(Datos!E101:M101)</f>
        <v/>
      </c>
      <c r="D101">
        <f>IF(C101=0,"",MEDIAN(Datos!E101:M101))</f>
        <v/>
      </c>
      <c r="E101">
        <f>COUNT(Datos!W101:AE101)</f>
        <v/>
      </c>
      <c r="F101">
        <f>IF(OR(B101="",D101=""),"",B101-D101)</f>
        <v/>
      </c>
      <c r="G101">
        <f>IF(Datos!D101="","",Datos!D101)</f>
        <v/>
      </c>
      <c r="H101">
        <f>COUNT(Datos!N101:V101)</f>
        <v/>
      </c>
      <c r="I101">
        <f>IF(B101="",IF(C101&gt;=5,"falta en SV",""),IF(G101="",IF(B101&gt;8,IF(C101&gt;=5,"SV tarde","despues del tramo"),IF(H101&gt;=5,"no retomado en 2-8","previo")),IF(B101&lt;2,"retomado",IF(AND(C101&lt;=1,E101&gt;=3),"solo especializacion",IF(F101="","coherente",IF(F101&lt;=-1.5,"SV adelantado",IF(F101&gt;=2,"SV tarde","coherente")))))))</f>
        <v/>
      </c>
      <c r="J101">
        <f>Datos!B101</f>
        <v/>
      </c>
    </row>
    <row r="102">
      <c r="A102">
        <f>Datos!A102</f>
        <v/>
      </c>
      <c r="B102">
        <f>IF(Datos!C102="","",Datos!C102)</f>
        <v/>
      </c>
      <c r="C102">
        <f>COUNT(Datos!E102:M102)</f>
        <v/>
      </c>
      <c r="D102">
        <f>IF(C102=0,"",MEDIAN(Datos!E102:M102))</f>
        <v/>
      </c>
      <c r="E102">
        <f>COUNT(Datos!W102:AE102)</f>
        <v/>
      </c>
      <c r="F102">
        <f>IF(OR(B102="",D102=""),"",B102-D102)</f>
        <v/>
      </c>
      <c r="G102">
        <f>IF(Datos!D102="","",Datos!D102)</f>
        <v/>
      </c>
      <c r="H102">
        <f>COUNT(Datos!N102:V102)</f>
        <v/>
      </c>
      <c r="I102">
        <f>IF(B102="",IF(C102&gt;=5,"falta en SV",""),IF(G102="",IF(B102&gt;8,IF(C102&gt;=5,"SV tarde","despues del tramo"),IF(H102&gt;=5,"no retomado en 2-8","previo")),IF(B102&lt;2,"retomado",IF(AND(C102&lt;=1,E102&gt;=3),"solo especializacion",IF(F102="","coherente",IF(F102&lt;=-1.5,"SV adelantado",IF(F102&gt;=2,"SV tarde","coherente")))))))</f>
        <v/>
      </c>
      <c r="J102">
        <f>Datos!B102</f>
        <v/>
      </c>
    </row>
    <row r="103">
      <c r="A103">
        <f>Datos!A103</f>
        <v/>
      </c>
      <c r="B103">
        <f>IF(Datos!C103="","",Datos!C103)</f>
        <v/>
      </c>
      <c r="C103">
        <f>COUNT(Datos!E103:M103)</f>
        <v/>
      </c>
      <c r="D103">
        <f>IF(C103=0,"",MEDIAN(Datos!E103:M103))</f>
        <v/>
      </c>
      <c r="E103">
        <f>COUNT(Datos!W103:AE103)</f>
        <v/>
      </c>
      <c r="F103">
        <f>IF(OR(B103="",D103=""),"",B103-D103)</f>
        <v/>
      </c>
      <c r="G103">
        <f>IF(Datos!D103="","",Datos!D103)</f>
        <v/>
      </c>
      <c r="H103">
        <f>COUNT(Datos!N103:V103)</f>
        <v/>
      </c>
      <c r="I103">
        <f>IF(B103="",IF(C103&gt;=5,"falta en SV",""),IF(G103="",IF(B103&gt;8,IF(C103&gt;=5,"SV tarde","despues del tramo"),IF(H103&gt;=5,"no retomado en 2-8","previo")),IF(B103&lt;2,"retomado",IF(AND(C103&lt;=1,E103&gt;=3),"solo especializacion",IF(F103="","coherente",IF(F103&lt;=-1.5,"SV adelantado",IF(F103&gt;=2,"SV tarde","coherente")))))))</f>
        <v/>
      </c>
      <c r="J103">
        <f>Datos!B103</f>
        <v/>
      </c>
    </row>
    <row r="104">
      <c r="A104">
        <f>Datos!A104</f>
        <v/>
      </c>
      <c r="B104">
        <f>IF(Datos!C104="","",Datos!C104)</f>
        <v/>
      </c>
      <c r="C104">
        <f>COUNT(Datos!E104:M104)</f>
        <v/>
      </c>
      <c r="D104">
        <f>IF(C104=0,"",MEDIAN(Datos!E104:M104))</f>
        <v/>
      </c>
      <c r="E104">
        <f>COUNT(Datos!W104:AE104)</f>
        <v/>
      </c>
      <c r="F104">
        <f>IF(OR(B104="",D104=""),"",B104-D104)</f>
        <v/>
      </c>
      <c r="G104">
        <f>IF(Datos!D104="","",Datos!D104)</f>
        <v/>
      </c>
      <c r="H104">
        <f>COUNT(Datos!N104:V104)</f>
        <v/>
      </c>
      <c r="I104">
        <f>IF(B104="",IF(C104&gt;=5,"falta en SV",""),IF(G104="",IF(B104&gt;8,IF(C104&gt;=5,"SV tarde","despues del tramo"),IF(H104&gt;=5,"no retomado en 2-8","previo")),IF(B104&lt;2,"retomado",IF(AND(C104&lt;=1,E104&gt;=3),"solo especializacion",IF(F104="","coherente",IF(F104&lt;=-1.5,"SV adelantado",IF(F104&gt;=2,"SV tarde","coherente")))))))</f>
        <v/>
      </c>
      <c r="J104">
        <f>Datos!B104</f>
        <v/>
      </c>
    </row>
    <row r="105">
      <c r="A105">
        <f>Datos!A105</f>
        <v/>
      </c>
      <c r="B105">
        <f>IF(Datos!C105="","",Datos!C105)</f>
        <v/>
      </c>
      <c r="C105">
        <f>COUNT(Datos!E105:M105)</f>
        <v/>
      </c>
      <c r="D105">
        <f>IF(C105=0,"",MEDIAN(Datos!E105:M105))</f>
        <v/>
      </c>
      <c r="E105">
        <f>COUNT(Datos!W105:AE105)</f>
        <v/>
      </c>
      <c r="F105">
        <f>IF(OR(B105="",D105=""),"",B105-D105)</f>
        <v/>
      </c>
      <c r="G105">
        <f>IF(Datos!D105="","",Datos!D105)</f>
        <v/>
      </c>
      <c r="H105">
        <f>COUNT(Datos!N105:V105)</f>
        <v/>
      </c>
      <c r="I105">
        <f>IF(B105="",IF(C105&gt;=5,"falta en SV",""),IF(G105="",IF(B105&gt;8,IF(C105&gt;=5,"SV tarde","despues del tramo"),IF(H105&gt;=5,"no retomado en 2-8","previo")),IF(B105&lt;2,"retomado",IF(AND(C105&lt;=1,E105&gt;=3),"solo especializacion",IF(F105="","coherente",IF(F105&lt;=-1.5,"SV adelantado",IF(F105&gt;=2,"SV tarde","coherente")))))))</f>
        <v/>
      </c>
      <c r="J105">
        <f>Datos!B105</f>
        <v/>
      </c>
    </row>
    <row r="106">
      <c r="A106">
        <f>Datos!A106</f>
        <v/>
      </c>
      <c r="B106">
        <f>IF(Datos!C106="","",Datos!C106)</f>
        <v/>
      </c>
      <c r="C106">
        <f>COUNT(Datos!E106:M106)</f>
        <v/>
      </c>
      <c r="D106">
        <f>IF(C106=0,"",MEDIAN(Datos!E106:M106))</f>
        <v/>
      </c>
      <c r="E106">
        <f>COUNT(Datos!W106:AE106)</f>
        <v/>
      </c>
      <c r="F106">
        <f>IF(OR(B106="",D106=""),"",B106-D106)</f>
        <v/>
      </c>
      <c r="G106">
        <f>IF(Datos!D106="","",Datos!D106)</f>
        <v/>
      </c>
      <c r="H106">
        <f>COUNT(Datos!N106:V106)</f>
        <v/>
      </c>
      <c r="I106">
        <f>IF(B106="",IF(C106&gt;=5,"falta en SV",""),IF(G106="",IF(B106&gt;8,IF(C106&gt;=5,"SV tarde","despues del tramo"),IF(H106&gt;=5,"no retomado en 2-8","previo")),IF(B106&lt;2,"retomado",IF(AND(C106&lt;=1,E106&gt;=3),"solo especializacion",IF(F106="","coherente",IF(F106&lt;=-1.5,"SV adelantado",IF(F106&gt;=2,"SV tarde","coherente")))))))</f>
        <v/>
      </c>
      <c r="J106">
        <f>Datos!B106</f>
        <v/>
      </c>
    </row>
    <row r="107">
      <c r="A107">
        <f>Datos!A107</f>
        <v/>
      </c>
      <c r="B107">
        <f>IF(Datos!C107="","",Datos!C107)</f>
        <v/>
      </c>
      <c r="C107">
        <f>COUNT(Datos!E107:M107)</f>
        <v/>
      </c>
      <c r="D107">
        <f>IF(C107=0,"",MEDIAN(Datos!E107:M107))</f>
        <v/>
      </c>
      <c r="E107">
        <f>COUNT(Datos!W107:AE107)</f>
        <v/>
      </c>
      <c r="F107">
        <f>IF(OR(B107="",D107=""),"",B107-D107)</f>
        <v/>
      </c>
      <c r="G107">
        <f>IF(Datos!D107="","",Datos!D107)</f>
        <v/>
      </c>
      <c r="H107">
        <f>COUNT(Datos!N107:V107)</f>
        <v/>
      </c>
      <c r="I107">
        <f>IF(B107="",IF(C107&gt;=5,"falta en SV",""),IF(G107="",IF(B107&gt;8,IF(C107&gt;=5,"SV tarde","despues del tramo"),IF(H107&gt;=5,"no retomado en 2-8","previo")),IF(B107&lt;2,"retomado",IF(AND(C107&lt;=1,E107&gt;=3),"solo especializacion",IF(F107="","coherente",IF(F107&lt;=-1.5,"SV adelantado",IF(F107&gt;=2,"SV tarde","coherente")))))))</f>
        <v/>
      </c>
      <c r="J107">
        <f>Datos!B107</f>
        <v/>
      </c>
    </row>
    <row r="108">
      <c r="A108">
        <f>Datos!A108</f>
        <v/>
      </c>
      <c r="B108">
        <f>IF(Datos!C108="","",Datos!C108)</f>
        <v/>
      </c>
      <c r="C108">
        <f>COUNT(Datos!E108:M108)</f>
        <v/>
      </c>
      <c r="D108">
        <f>IF(C108=0,"",MEDIAN(Datos!E108:M108))</f>
        <v/>
      </c>
      <c r="E108">
        <f>COUNT(Datos!W108:AE108)</f>
        <v/>
      </c>
      <c r="F108">
        <f>IF(OR(B108="",D108=""),"",B108-D108)</f>
        <v/>
      </c>
      <c r="G108">
        <f>IF(Datos!D108="","",Datos!D108)</f>
        <v/>
      </c>
      <c r="H108">
        <f>COUNT(Datos!N108:V108)</f>
        <v/>
      </c>
      <c r="I108">
        <f>IF(B108="",IF(C108&gt;=5,"falta en SV",""),IF(G108="",IF(B108&gt;8,IF(C108&gt;=5,"SV tarde","despues del tramo"),IF(H108&gt;=5,"no retomado en 2-8","previo")),IF(B108&lt;2,"retomado",IF(AND(C108&lt;=1,E108&gt;=3),"solo especializacion",IF(F108="","coherente",IF(F108&lt;=-1.5,"SV adelantado",IF(F108&gt;=2,"SV tarde","coherente")))))))</f>
        <v/>
      </c>
      <c r="J108">
        <f>Datos!B108</f>
        <v/>
      </c>
    </row>
    <row r="109">
      <c r="A109">
        <f>Datos!A109</f>
        <v/>
      </c>
      <c r="B109">
        <f>IF(Datos!C109="","",Datos!C109)</f>
        <v/>
      </c>
      <c r="C109">
        <f>COUNT(Datos!E109:M109)</f>
        <v/>
      </c>
      <c r="D109">
        <f>IF(C109=0,"",MEDIAN(Datos!E109:M109))</f>
        <v/>
      </c>
      <c r="E109">
        <f>COUNT(Datos!W109:AE109)</f>
        <v/>
      </c>
      <c r="F109">
        <f>IF(OR(B109="",D109=""),"",B109-D109)</f>
        <v/>
      </c>
      <c r="G109">
        <f>IF(Datos!D109="","",Datos!D109)</f>
        <v/>
      </c>
      <c r="H109">
        <f>COUNT(Datos!N109:V109)</f>
        <v/>
      </c>
      <c r="I109">
        <f>IF(B109="",IF(C109&gt;=5,"falta en SV",""),IF(G109="",IF(B109&gt;8,IF(C109&gt;=5,"SV tarde","despues del tramo"),IF(H109&gt;=5,"no retomado en 2-8","previo")),IF(B109&lt;2,"retomado",IF(AND(C109&lt;=1,E109&gt;=3),"solo especializacion",IF(F109="","coherente",IF(F109&lt;=-1.5,"SV adelantado",IF(F109&gt;=2,"SV tarde","coherente")))))))</f>
        <v/>
      </c>
      <c r="J109">
        <f>Datos!B109</f>
        <v/>
      </c>
    </row>
    <row r="110">
      <c r="A110">
        <f>Datos!A110</f>
        <v/>
      </c>
      <c r="B110">
        <f>IF(Datos!C110="","",Datos!C110)</f>
        <v/>
      </c>
      <c r="C110">
        <f>COUNT(Datos!E110:M110)</f>
        <v/>
      </c>
      <c r="D110">
        <f>IF(C110=0,"",MEDIAN(Datos!E110:M110))</f>
        <v/>
      </c>
      <c r="E110">
        <f>COUNT(Datos!W110:AE110)</f>
        <v/>
      </c>
      <c r="F110">
        <f>IF(OR(B110="",D110=""),"",B110-D110)</f>
        <v/>
      </c>
      <c r="G110">
        <f>IF(Datos!D110="","",Datos!D110)</f>
        <v/>
      </c>
      <c r="H110">
        <f>COUNT(Datos!N110:V110)</f>
        <v/>
      </c>
      <c r="I110">
        <f>IF(B110="",IF(C110&gt;=5,"falta en SV",""),IF(G110="",IF(B110&gt;8,IF(C110&gt;=5,"SV tarde","despues del tramo"),IF(H110&gt;=5,"no retomado en 2-8","previo")),IF(B110&lt;2,"retomado",IF(AND(C110&lt;=1,E110&gt;=3),"solo especializacion",IF(F110="","coherente",IF(F110&lt;=-1.5,"SV adelantado",IF(F110&gt;=2,"SV tarde","coherente")))))))</f>
        <v/>
      </c>
      <c r="J110">
        <f>Datos!B110</f>
        <v/>
      </c>
    </row>
    <row r="111">
      <c r="A111">
        <f>Datos!A111</f>
        <v/>
      </c>
      <c r="B111">
        <f>IF(Datos!C111="","",Datos!C111)</f>
        <v/>
      </c>
      <c r="C111">
        <f>COUNT(Datos!E111:M111)</f>
        <v/>
      </c>
      <c r="D111">
        <f>IF(C111=0,"",MEDIAN(Datos!E111:M111))</f>
        <v/>
      </c>
      <c r="E111">
        <f>COUNT(Datos!W111:AE111)</f>
        <v/>
      </c>
      <c r="F111">
        <f>IF(OR(B111="",D111=""),"",B111-D111)</f>
        <v/>
      </c>
      <c r="G111">
        <f>IF(Datos!D111="","",Datos!D111)</f>
        <v/>
      </c>
      <c r="H111">
        <f>COUNT(Datos!N111:V111)</f>
        <v/>
      </c>
      <c r="I111">
        <f>IF(B111="",IF(C111&gt;=5,"falta en SV",""),IF(G111="",IF(B111&gt;8,IF(C111&gt;=5,"SV tarde","despues del tramo"),IF(H111&gt;=5,"no retomado en 2-8","previo")),IF(B111&lt;2,"retomado",IF(AND(C111&lt;=1,E111&gt;=3),"solo especializacion",IF(F111="","coherente",IF(F111&lt;=-1.5,"SV adelantado",IF(F111&gt;=2,"SV tarde","coherente")))))))</f>
        <v/>
      </c>
      <c r="J111">
        <f>Datos!B111</f>
        <v/>
      </c>
    </row>
    <row r="112">
      <c r="A112">
        <f>Datos!A112</f>
        <v/>
      </c>
      <c r="B112">
        <f>IF(Datos!C112="","",Datos!C112)</f>
        <v/>
      </c>
      <c r="C112">
        <f>COUNT(Datos!E112:M112)</f>
        <v/>
      </c>
      <c r="D112">
        <f>IF(C112=0,"",MEDIAN(Datos!E112:M112))</f>
        <v/>
      </c>
      <c r="E112">
        <f>COUNT(Datos!W112:AE112)</f>
        <v/>
      </c>
      <c r="F112">
        <f>IF(OR(B112="",D112=""),"",B112-D112)</f>
        <v/>
      </c>
      <c r="G112">
        <f>IF(Datos!D112="","",Datos!D112)</f>
        <v/>
      </c>
      <c r="H112">
        <f>COUNT(Datos!N112:V112)</f>
        <v/>
      </c>
      <c r="I112">
        <f>IF(B112="",IF(C112&gt;=5,"falta en SV",""),IF(G112="",IF(B112&gt;8,IF(C112&gt;=5,"SV tarde","despues del tramo"),IF(H112&gt;=5,"no retomado en 2-8","previo")),IF(B112&lt;2,"retomado",IF(AND(C112&lt;=1,E112&gt;=3),"solo especializacion",IF(F112="","coherente",IF(F112&lt;=-1.5,"SV adelantado",IF(F112&gt;=2,"SV tarde","coherente")))))))</f>
        <v/>
      </c>
      <c r="J112">
        <f>Datos!B112</f>
        <v/>
      </c>
    </row>
    <row r="113">
      <c r="A113">
        <f>Datos!A113</f>
        <v/>
      </c>
      <c r="B113">
        <f>IF(Datos!C113="","",Datos!C113)</f>
        <v/>
      </c>
      <c r="C113">
        <f>COUNT(Datos!E113:M113)</f>
        <v/>
      </c>
      <c r="D113">
        <f>IF(C113=0,"",MEDIAN(Datos!E113:M113))</f>
        <v/>
      </c>
      <c r="E113">
        <f>COUNT(Datos!W113:AE113)</f>
        <v/>
      </c>
      <c r="F113">
        <f>IF(OR(B113="",D113=""),"",B113-D113)</f>
        <v/>
      </c>
      <c r="G113">
        <f>IF(Datos!D113="","",Datos!D113)</f>
        <v/>
      </c>
      <c r="H113">
        <f>COUNT(Datos!N113:V113)</f>
        <v/>
      </c>
      <c r="I113">
        <f>IF(B113="",IF(C113&gt;=5,"falta en SV",""),IF(G113="",IF(B113&gt;8,IF(C113&gt;=5,"SV tarde","despues del tramo"),IF(H113&gt;=5,"no retomado en 2-8","previo")),IF(B113&lt;2,"retomado",IF(AND(C113&lt;=1,E113&gt;=3),"solo especializacion",IF(F113="","coherente",IF(F113&lt;=-1.5,"SV adelantado",IF(F113&gt;=2,"SV tarde","coherente")))))))</f>
        <v/>
      </c>
      <c r="J113">
        <f>Datos!B113</f>
        <v/>
      </c>
    </row>
    <row r="114">
      <c r="A114">
        <f>Datos!A114</f>
        <v/>
      </c>
      <c r="B114">
        <f>IF(Datos!C114="","",Datos!C114)</f>
        <v/>
      </c>
      <c r="C114">
        <f>COUNT(Datos!E114:M114)</f>
        <v/>
      </c>
      <c r="D114">
        <f>IF(C114=0,"",MEDIAN(Datos!E114:M114))</f>
        <v/>
      </c>
      <c r="E114">
        <f>COUNT(Datos!W114:AE114)</f>
        <v/>
      </c>
      <c r="F114">
        <f>IF(OR(B114="",D114=""),"",B114-D114)</f>
        <v/>
      </c>
      <c r="G114">
        <f>IF(Datos!D114="","",Datos!D114)</f>
        <v/>
      </c>
      <c r="H114">
        <f>COUNT(Datos!N114:V114)</f>
        <v/>
      </c>
      <c r="I114">
        <f>IF(B114="",IF(C114&gt;=5,"falta en SV",""),IF(G114="",IF(B114&gt;8,IF(C114&gt;=5,"SV tarde","despues del tramo"),IF(H114&gt;=5,"no retomado en 2-8","previo")),IF(B114&lt;2,"retomado",IF(AND(C114&lt;=1,E114&gt;=3),"solo especializacion",IF(F114="","coherente",IF(F114&lt;=-1.5,"SV adelantado",IF(F114&gt;=2,"SV tarde","coherente")))))))</f>
        <v/>
      </c>
      <c r="J114">
        <f>Datos!B114</f>
        <v/>
      </c>
    </row>
    <row r="115">
      <c r="A115">
        <f>Datos!A115</f>
        <v/>
      </c>
      <c r="B115">
        <f>IF(Datos!C115="","",Datos!C115)</f>
        <v/>
      </c>
      <c r="C115">
        <f>COUNT(Datos!E115:M115)</f>
        <v/>
      </c>
      <c r="D115">
        <f>IF(C115=0,"",MEDIAN(Datos!E115:M115))</f>
        <v/>
      </c>
      <c r="E115">
        <f>COUNT(Datos!W115:AE115)</f>
        <v/>
      </c>
      <c r="F115">
        <f>IF(OR(B115="",D115=""),"",B115-D115)</f>
        <v/>
      </c>
      <c r="G115">
        <f>IF(Datos!D115="","",Datos!D115)</f>
        <v/>
      </c>
      <c r="H115">
        <f>COUNT(Datos!N115:V115)</f>
        <v/>
      </c>
      <c r="I115">
        <f>IF(B115="",IF(C115&gt;=5,"falta en SV",""),IF(G115="",IF(B115&gt;8,IF(C115&gt;=5,"SV tarde","despues del tramo"),IF(H115&gt;=5,"no retomado en 2-8","previo")),IF(B115&lt;2,"retomado",IF(AND(C115&lt;=1,E115&gt;=3),"solo especializacion",IF(F115="","coherente",IF(F115&lt;=-1.5,"SV adelantado",IF(F115&gt;=2,"SV tarde","coherente")))))))</f>
        <v/>
      </c>
      <c r="J115">
        <f>Datos!B115</f>
        <v/>
      </c>
    </row>
    <row r="116">
      <c r="A116">
        <f>Datos!A116</f>
        <v/>
      </c>
      <c r="B116">
        <f>IF(Datos!C116="","",Datos!C116)</f>
        <v/>
      </c>
      <c r="C116">
        <f>COUNT(Datos!E116:M116)</f>
        <v/>
      </c>
      <c r="D116">
        <f>IF(C116=0,"",MEDIAN(Datos!E116:M116))</f>
        <v/>
      </c>
      <c r="E116">
        <f>COUNT(Datos!W116:AE116)</f>
        <v/>
      </c>
      <c r="F116">
        <f>IF(OR(B116="",D116=""),"",B116-D116)</f>
        <v/>
      </c>
      <c r="G116">
        <f>IF(Datos!D116="","",Datos!D116)</f>
        <v/>
      </c>
      <c r="H116">
        <f>COUNT(Datos!N116:V116)</f>
        <v/>
      </c>
      <c r="I116">
        <f>IF(B116="",IF(C116&gt;=5,"falta en SV",""),IF(G116="",IF(B116&gt;8,IF(C116&gt;=5,"SV tarde","despues del tramo"),IF(H116&gt;=5,"no retomado en 2-8","previo")),IF(B116&lt;2,"retomado",IF(AND(C116&lt;=1,E116&gt;=3),"solo especializacion",IF(F116="","coherente",IF(F116&lt;=-1.5,"SV adelantado",IF(F116&gt;=2,"SV tarde","coherente")))))))</f>
        <v/>
      </c>
      <c r="J116">
        <f>Datos!B116</f>
        <v/>
      </c>
    </row>
    <row r="117">
      <c r="A117">
        <f>Datos!A117</f>
        <v/>
      </c>
      <c r="B117">
        <f>IF(Datos!C117="","",Datos!C117)</f>
        <v/>
      </c>
      <c r="C117">
        <f>COUNT(Datos!E117:M117)</f>
        <v/>
      </c>
      <c r="D117">
        <f>IF(C117=0,"",MEDIAN(Datos!E117:M117))</f>
        <v/>
      </c>
      <c r="E117">
        <f>COUNT(Datos!W117:AE117)</f>
        <v/>
      </c>
      <c r="F117">
        <f>IF(OR(B117="",D117=""),"",B117-D117)</f>
        <v/>
      </c>
      <c r="G117">
        <f>IF(Datos!D117="","",Datos!D117)</f>
        <v/>
      </c>
      <c r="H117">
        <f>COUNT(Datos!N117:V117)</f>
        <v/>
      </c>
      <c r="I117">
        <f>IF(B117="",IF(C117&gt;=5,"falta en SV",""),IF(G117="",IF(B117&gt;8,IF(C117&gt;=5,"SV tarde","despues del tramo"),IF(H117&gt;=5,"no retomado en 2-8","previo")),IF(B117&lt;2,"retomado",IF(AND(C117&lt;=1,E117&gt;=3),"solo especializacion",IF(F117="","coherente",IF(F117&lt;=-1.5,"SV adelantado",IF(F117&gt;=2,"SV tarde","coherente")))))))</f>
        <v/>
      </c>
      <c r="J117">
        <f>Datos!B117</f>
        <v/>
      </c>
    </row>
    <row r="118">
      <c r="A118">
        <f>Datos!A118</f>
        <v/>
      </c>
      <c r="B118">
        <f>IF(Datos!C118="","",Datos!C118)</f>
        <v/>
      </c>
      <c r="C118">
        <f>COUNT(Datos!E118:M118)</f>
        <v/>
      </c>
      <c r="D118">
        <f>IF(C118=0,"",MEDIAN(Datos!E118:M118))</f>
        <v/>
      </c>
      <c r="E118">
        <f>COUNT(Datos!W118:AE118)</f>
        <v/>
      </c>
      <c r="F118">
        <f>IF(OR(B118="",D118=""),"",B118-D118)</f>
        <v/>
      </c>
      <c r="G118">
        <f>IF(Datos!D118="","",Datos!D118)</f>
        <v/>
      </c>
      <c r="H118">
        <f>COUNT(Datos!N118:V118)</f>
        <v/>
      </c>
      <c r="I118">
        <f>IF(B118="",IF(C118&gt;=5,"falta en SV",""),IF(G118="",IF(B118&gt;8,IF(C118&gt;=5,"SV tarde","despues del tramo"),IF(H118&gt;=5,"no retomado en 2-8","previo")),IF(B118&lt;2,"retomado",IF(AND(C118&lt;=1,E118&gt;=3),"solo especializacion",IF(F118="","coherente",IF(F118&lt;=-1.5,"SV adelantado",IF(F118&gt;=2,"SV tarde","coherente")))))))</f>
        <v/>
      </c>
      <c r="J118">
        <f>Datos!B118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COUNTIF(Datos!B2:B118,A2)</f>
        <v/>
      </c>
    </row>
    <row r="3">
      <c r="A3" t="inlineStr">
        <is>
          <t>tardio</t>
        </is>
      </c>
      <c r="B3">
        <f>COUNTIF(Datos!B2:B118,A3)</f>
        <v/>
      </c>
    </row>
    <row r="4">
      <c r="A4" t="inlineStr">
        <is>
          <t>posterior</t>
        </is>
      </c>
      <c r="B4">
        <f>COUNTIF(Datos!B2:B118,A4)</f>
        <v/>
      </c>
    </row>
    <row r="5">
      <c r="A5" t="inlineStr">
        <is>
          <t>adelantado</t>
        </is>
      </c>
      <c r="B5">
        <f>COUNTIF(Datos!B2:B118,A5)</f>
        <v/>
      </c>
    </row>
    <row r="6">
      <c r="A6" t="inlineStr">
        <is>
          <t>sin_referente</t>
        </is>
      </c>
      <c r="B6">
        <f>COUNTIF(Datos!B2:B118,A6)</f>
        <v/>
      </c>
    </row>
    <row r="7">
      <c r="A7" t="inlineStr">
        <is>
          <t>alineado</t>
        </is>
      </c>
      <c r="B7">
        <f>COUNTIF(Datos!B2:B118,A7)</f>
        <v/>
      </c>
    </row>
    <row r="8">
      <c r="A8" t="inlineStr">
        <is>
          <t>Total</t>
        </is>
      </c>
      <c r="B8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