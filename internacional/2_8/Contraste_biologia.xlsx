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Amenazas a la biodiversidad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2</v>
      </c>
      <c r="H3" t="n">
        <v>2</v>
      </c>
      <c r="I3" t="n">
        <v>8</v>
      </c>
      <c r="J3" t="n">
        <v>2.5</v>
      </c>
      <c r="K3" t="n">
        <v>2</v>
      </c>
      <c r="L3" t="n">
        <v>6</v>
      </c>
      <c r="M3" t="n">
        <v>4.5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Biotecnología microbiana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H4" t="n">
        <v>7</v>
      </c>
      <c r="J4" t="n">
        <v>2.5</v>
      </c>
      <c r="M4" t="n">
        <v>7</v>
      </c>
      <c r="O4" t="n">
        <v>1</v>
      </c>
      <c r="Q4" t="n">
        <v>1</v>
      </c>
      <c r="S4" t="n">
        <v>1</v>
      </c>
      <c r="V4" t="n">
        <v>1</v>
      </c>
      <c r="AF4" t="n">
        <v>3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Conservación de la biodiversidad</t>
        </is>
      </c>
      <c r="B5" t="inlineStr">
        <is>
          <t>adelantado</t>
        </is>
      </c>
      <c r="C5" t="n">
        <v>2</v>
      </c>
      <c r="D5" t="n">
        <v>2</v>
      </c>
      <c r="F5" t="n">
        <v>2.5</v>
      </c>
      <c r="G5" t="n">
        <v>6</v>
      </c>
      <c r="H5" t="n">
        <v>2</v>
      </c>
      <c r="I5" t="n">
        <v>8</v>
      </c>
      <c r="J5" t="n">
        <v>2.5</v>
      </c>
      <c r="K5" t="n">
        <v>2</v>
      </c>
      <c r="L5" t="n">
        <v>4.5</v>
      </c>
      <c r="M5" t="n">
        <v>7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Enfermedades infecciosas y no infecciosas</t>
        </is>
      </c>
      <c r="B6" t="inlineStr">
        <is>
          <t>adelantado</t>
        </is>
      </c>
      <c r="C6" t="n">
        <v>3</v>
      </c>
      <c r="D6" t="n">
        <v>3</v>
      </c>
      <c r="F6" t="n">
        <v>8</v>
      </c>
      <c r="G6" t="n">
        <v>6</v>
      </c>
      <c r="H6" t="n">
        <v>3</v>
      </c>
      <c r="J6" t="n">
        <v>2.5</v>
      </c>
      <c r="K6" t="n">
        <v>4</v>
      </c>
      <c r="L6" t="n">
        <v>7.5</v>
      </c>
      <c r="O6" t="n">
        <v>1</v>
      </c>
      <c r="P6" t="n">
        <v>1</v>
      </c>
      <c r="Q6" t="n">
        <v>1</v>
      </c>
      <c r="S6" t="n">
        <v>1</v>
      </c>
      <c r="T6" t="n">
        <v>1</v>
      </c>
      <c r="U6" t="n">
        <v>1</v>
      </c>
      <c r="Z6" t="n">
        <v>1</v>
      </c>
      <c r="AF6" t="n">
        <v>3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Fósiles y registro fósil</t>
        </is>
      </c>
      <c r="B7" t="inlineStr">
        <is>
          <t>adelantado</t>
        </is>
      </c>
      <c r="C7" t="n">
        <v>3</v>
      </c>
      <c r="D7" t="n">
        <v>3</v>
      </c>
      <c r="F7" t="n">
        <v>8</v>
      </c>
      <c r="G7" t="n">
        <v>2</v>
      </c>
      <c r="H7" t="n">
        <v>4</v>
      </c>
      <c r="I7" t="n">
        <v>5</v>
      </c>
      <c r="J7" t="n">
        <v>4.5</v>
      </c>
      <c r="K7" t="n">
        <v>3</v>
      </c>
      <c r="M7" t="n">
        <v>4.5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1</v>
      </c>
      <c r="V7" t="n">
        <v>1</v>
      </c>
      <c r="AF7" t="n">
        <v>3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Grupos de plantas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2</v>
      </c>
      <c r="H8" t="n">
        <v>2</v>
      </c>
      <c r="J8" t="n">
        <v>4.5</v>
      </c>
      <c r="L8" t="n">
        <v>5</v>
      </c>
      <c r="O8" t="n">
        <v>1</v>
      </c>
      <c r="P8" t="n">
        <v>1</v>
      </c>
      <c r="Q8" t="n">
        <v>1</v>
      </c>
      <c r="S8" t="n">
        <v>1</v>
      </c>
      <c r="U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Herencia de rasgos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3</v>
      </c>
      <c r="I9" t="n">
        <v>8</v>
      </c>
      <c r="J9" t="n">
        <v>7</v>
      </c>
      <c r="L9" t="n">
        <v>5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U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Historia de la vida en la Tierra</t>
        </is>
      </c>
      <c r="B10" t="inlineStr">
        <is>
          <t>adelantado</t>
        </is>
      </c>
      <c r="C10" t="n">
        <v>2</v>
      </c>
      <c r="D10" t="n">
        <v>2</v>
      </c>
      <c r="F10" t="n">
        <v>8</v>
      </c>
      <c r="G10" t="n">
        <v>4</v>
      </c>
      <c r="I10" t="n">
        <v>8</v>
      </c>
      <c r="M10" t="n">
        <v>7</v>
      </c>
      <c r="O10" t="n">
        <v>1</v>
      </c>
      <c r="P10" t="n">
        <v>1</v>
      </c>
      <c r="R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Inmunidad activa, pasiva y vacunas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8.5</v>
      </c>
      <c r="H11" t="n">
        <v>3</v>
      </c>
      <c r="O11" t="n">
        <v>1</v>
      </c>
      <c r="P11" t="n">
        <v>1</v>
      </c>
      <c r="Q11" t="n">
        <v>1</v>
      </c>
      <c r="Z11" t="n">
        <v>1</v>
      </c>
      <c r="AF11" t="n">
        <v>2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Intercambio de gases en animales</t>
        </is>
      </c>
      <c r="B12" t="inlineStr">
        <is>
          <t>adelantado</t>
        </is>
      </c>
      <c r="C12" t="n">
        <v>3</v>
      </c>
      <c r="D12" t="n">
        <v>3</v>
      </c>
      <c r="F12" t="n">
        <v>8</v>
      </c>
      <c r="G12" t="n">
        <v>6</v>
      </c>
      <c r="H12" t="n">
        <v>7</v>
      </c>
      <c r="I12" t="n">
        <v>5</v>
      </c>
      <c r="J12" t="n">
        <v>7</v>
      </c>
      <c r="L12" t="n">
        <v>5</v>
      </c>
      <c r="M12" t="n">
        <v>7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U12" t="n">
        <v>1</v>
      </c>
      <c r="V12" t="n">
        <v>1</v>
      </c>
      <c r="AF12" t="n">
        <v>3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Microorganismos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G13" t="n">
        <v>4</v>
      </c>
      <c r="H13" t="n">
        <v>2</v>
      </c>
      <c r="J13" t="n">
        <v>2.5</v>
      </c>
      <c r="L13" t="n">
        <v>7.5</v>
      </c>
      <c r="M13" t="n">
        <v>7</v>
      </c>
      <c r="O13" t="n">
        <v>1</v>
      </c>
      <c r="P13" t="n">
        <v>1</v>
      </c>
      <c r="Q13" t="n">
        <v>1</v>
      </c>
      <c r="S13" t="n">
        <v>1</v>
      </c>
      <c r="U13" t="n">
        <v>1</v>
      </c>
      <c r="V13" t="n">
        <v>1</v>
      </c>
      <c r="Z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Nutrientes y sus funciones</t>
        </is>
      </c>
      <c r="B14" t="inlineStr">
        <is>
          <t>adelantado</t>
        </is>
      </c>
      <c r="C14" t="n">
        <v>2</v>
      </c>
      <c r="D14" t="n">
        <v>2</v>
      </c>
      <c r="F14" t="n">
        <v>8</v>
      </c>
      <c r="G14" t="n">
        <v>6</v>
      </c>
      <c r="H14" t="n">
        <v>2</v>
      </c>
      <c r="L14" t="n">
        <v>7.5</v>
      </c>
      <c r="O14" t="n">
        <v>1</v>
      </c>
      <c r="P14" t="n">
        <v>1</v>
      </c>
      <c r="Q14" t="n">
        <v>1</v>
      </c>
      <c r="U14" t="n">
        <v>1</v>
      </c>
      <c r="Z14" t="n">
        <v>1</v>
      </c>
      <c r="AF14" t="n">
        <v>4</v>
      </c>
      <c r="AG14" t="inlineStr">
        <is>
          <t>adelantado</t>
        </is>
      </c>
      <c r="AH14" t="inlineStr">
        <is>
          <t>adelantado</t>
        </is>
      </c>
    </row>
    <row r="15">
      <c r="A15" t="inlineStr">
        <is>
          <t>Redes tróficas</t>
        </is>
      </c>
      <c r="B15" t="inlineStr">
        <is>
          <t>adelantado</t>
        </is>
      </c>
      <c r="C15" t="n">
        <v>4</v>
      </c>
      <c r="D15" t="n">
        <v>4</v>
      </c>
      <c r="E15" t="n">
        <v>6</v>
      </c>
      <c r="F15" t="n">
        <v>5</v>
      </c>
      <c r="G15" t="n">
        <v>6</v>
      </c>
      <c r="H15" t="n">
        <v>7</v>
      </c>
      <c r="I15" t="n">
        <v>8</v>
      </c>
      <c r="J15" t="n">
        <v>2.5</v>
      </c>
      <c r="K15" t="n">
        <v>3</v>
      </c>
      <c r="L15" t="n">
        <v>6</v>
      </c>
      <c r="M15" t="n">
        <v>4.5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AF15" t="n">
        <v>4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Grandes grupos taxonómicos</t>
        </is>
      </c>
      <c r="B16" t="inlineStr">
        <is>
          <t>adelantado</t>
        </is>
      </c>
      <c r="C16" t="n">
        <v>2</v>
      </c>
      <c r="D16" t="n">
        <v>2</v>
      </c>
      <c r="F16" t="n">
        <v>4</v>
      </c>
      <c r="G16" t="n">
        <v>4</v>
      </c>
      <c r="H16" t="n">
        <v>4</v>
      </c>
      <c r="J16" t="n">
        <v>2.5</v>
      </c>
      <c r="K16" t="n">
        <v>5</v>
      </c>
      <c r="L16" t="n">
        <v>3</v>
      </c>
      <c r="O16" t="n">
        <v>1</v>
      </c>
      <c r="P16" t="n">
        <v>1</v>
      </c>
      <c r="Q16" t="n">
        <v>1</v>
      </c>
      <c r="S16" t="n">
        <v>1</v>
      </c>
      <c r="T16" t="n">
        <v>1</v>
      </c>
      <c r="U16" t="n">
        <v>1</v>
      </c>
      <c r="AF16" t="n">
        <v>2</v>
      </c>
      <c r="AG16" t="inlineStr">
        <is>
          <t>adelantado</t>
        </is>
      </c>
      <c r="AH16" t="inlineStr">
        <is>
          <t>adelantado</t>
        </is>
      </c>
    </row>
    <row r="17">
      <c r="A17" t="inlineStr">
        <is>
          <t>Simbiosis: mutualismo, comensalismo y parasitismo</t>
        </is>
      </c>
      <c r="B17" t="inlineStr">
        <is>
          <t>adelantado</t>
        </is>
      </c>
      <c r="C17" t="n">
        <v>4</v>
      </c>
      <c r="D17" t="n">
        <v>4</v>
      </c>
      <c r="F17" t="n">
        <v>8</v>
      </c>
      <c r="G17" t="n">
        <v>6</v>
      </c>
      <c r="H17" t="n">
        <v>7</v>
      </c>
      <c r="K17" t="n">
        <v>5</v>
      </c>
      <c r="L17" t="n">
        <v>7.5</v>
      </c>
      <c r="M17" t="n">
        <v>4.5</v>
      </c>
      <c r="O17" t="n">
        <v>1</v>
      </c>
      <c r="P17" t="n">
        <v>1</v>
      </c>
      <c r="Q17" t="n">
        <v>1</v>
      </c>
      <c r="T17" t="n">
        <v>1</v>
      </c>
      <c r="U17" t="n">
        <v>1</v>
      </c>
      <c r="V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Sistema excretor</t>
        </is>
      </c>
      <c r="B18" t="inlineStr">
        <is>
          <t>adelantado</t>
        </is>
      </c>
      <c r="C18" t="n">
        <v>4</v>
      </c>
      <c r="D18" t="n">
        <v>4</v>
      </c>
      <c r="F18" t="n">
        <v>8</v>
      </c>
      <c r="G18" t="n">
        <v>8.5</v>
      </c>
      <c r="H18" t="n">
        <v>5</v>
      </c>
      <c r="I18" t="n">
        <v>7</v>
      </c>
      <c r="J18" t="n">
        <v>7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Sistema nervioso</t>
        </is>
      </c>
      <c r="B19" t="inlineStr">
        <is>
          <t>adelantado</t>
        </is>
      </c>
      <c r="C19" t="n">
        <v>4</v>
      </c>
      <c r="D19" t="n">
        <v>4</v>
      </c>
      <c r="E19" t="n">
        <v>8</v>
      </c>
      <c r="F19" t="n">
        <v>8</v>
      </c>
      <c r="G19" t="n">
        <v>6</v>
      </c>
      <c r="H19" t="n">
        <v>5</v>
      </c>
      <c r="I19" t="n">
        <v>7</v>
      </c>
      <c r="J19" t="n">
        <v>7</v>
      </c>
      <c r="K19" t="n">
        <v>4</v>
      </c>
      <c r="M19" t="n">
        <v>2.5</v>
      </c>
      <c r="N19" t="n">
        <v>1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V19" t="n">
        <v>1</v>
      </c>
      <c r="Z19" t="n">
        <v>1</v>
      </c>
      <c r="AF19" t="n">
        <v>4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Sostenibilidad de la biosfera</t>
        </is>
      </c>
      <c r="B20" t="inlineStr">
        <is>
          <t>adelantado</t>
        </is>
      </c>
      <c r="C20" t="n">
        <v>2</v>
      </c>
      <c r="D20" t="n">
        <v>2</v>
      </c>
      <c r="F20" t="n">
        <v>2.5</v>
      </c>
      <c r="G20" t="n">
        <v>8.5</v>
      </c>
      <c r="H20" t="n">
        <v>4</v>
      </c>
      <c r="I20" t="n">
        <v>8</v>
      </c>
      <c r="J20" t="n">
        <v>2.5</v>
      </c>
      <c r="K20" t="n">
        <v>2</v>
      </c>
      <c r="L20" t="n">
        <v>4.5</v>
      </c>
      <c r="M20" t="n">
        <v>4.5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Tipos de patógenos</t>
        </is>
      </c>
      <c r="B21" t="inlineStr">
        <is>
          <t>adelantado</t>
        </is>
      </c>
      <c r="C21" t="n">
        <v>3</v>
      </c>
      <c r="D21" t="n">
        <v>3</v>
      </c>
      <c r="F21" t="n">
        <v>8</v>
      </c>
      <c r="G21" t="n">
        <v>8.5</v>
      </c>
      <c r="H21" t="n">
        <v>3</v>
      </c>
      <c r="L21" t="n">
        <v>7.5</v>
      </c>
      <c r="M21" t="n">
        <v>7</v>
      </c>
      <c r="O21" t="n">
        <v>1</v>
      </c>
      <c r="P21" t="n">
        <v>1</v>
      </c>
      <c r="Q21" t="n">
        <v>1</v>
      </c>
      <c r="U21" t="n">
        <v>1</v>
      </c>
      <c r="V21" t="n">
        <v>1</v>
      </c>
      <c r="Z21" t="n">
        <v>1</v>
      </c>
      <c r="AF21" t="n">
        <v>3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ADN y cromosomas</t>
        </is>
      </c>
      <c r="B22" t="inlineStr">
        <is>
          <t>alineado</t>
        </is>
      </c>
      <c r="C22" t="n">
        <v>6</v>
      </c>
      <c r="D22" t="n">
        <v>6</v>
      </c>
      <c r="F22" t="n">
        <v>8</v>
      </c>
      <c r="G22" t="n">
        <v>6</v>
      </c>
      <c r="J22" t="n">
        <v>7</v>
      </c>
      <c r="L22" t="n">
        <v>7.5</v>
      </c>
      <c r="M22" t="n">
        <v>7</v>
      </c>
      <c r="O22" t="n">
        <v>1</v>
      </c>
      <c r="P22" t="n">
        <v>1</v>
      </c>
      <c r="S22" t="n">
        <v>1</v>
      </c>
      <c r="U22" t="n">
        <v>1</v>
      </c>
      <c r="V22" t="n">
        <v>1</v>
      </c>
      <c r="Z22" t="n">
        <v>1</v>
      </c>
      <c r="AF22" t="n">
        <v>6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Agricultura y seguridad alimentaria</t>
        </is>
      </c>
      <c r="B23" t="inlineStr">
        <is>
          <t>alineado</t>
        </is>
      </c>
      <c r="C23" t="n">
        <v>4</v>
      </c>
      <c r="D23" t="n">
        <v>4</v>
      </c>
      <c r="F23" t="n">
        <v>5</v>
      </c>
      <c r="G23" t="n">
        <v>6</v>
      </c>
      <c r="K23" t="n">
        <v>2</v>
      </c>
      <c r="M23" t="n">
        <v>4.5</v>
      </c>
      <c r="O23" t="n">
        <v>1</v>
      </c>
      <c r="P23" t="n">
        <v>1</v>
      </c>
      <c r="T23" t="n">
        <v>1</v>
      </c>
      <c r="V23" t="n">
        <v>1</v>
      </c>
      <c r="AF23" t="n">
        <v>4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Biodiversidad</t>
        </is>
      </c>
      <c r="B24" t="inlineStr">
        <is>
          <t>alineado</t>
        </is>
      </c>
      <c r="C24" t="n">
        <v>2</v>
      </c>
      <c r="D24" t="n">
        <v>2</v>
      </c>
      <c r="E24" t="n">
        <v>6</v>
      </c>
      <c r="F24" t="n">
        <v>2.5</v>
      </c>
      <c r="G24" t="n">
        <v>2</v>
      </c>
      <c r="H24" t="n">
        <v>2</v>
      </c>
      <c r="I24" t="n">
        <v>6</v>
      </c>
      <c r="J24" t="n">
        <v>2.5</v>
      </c>
      <c r="K24" t="n">
        <v>2</v>
      </c>
      <c r="L24" t="n">
        <v>3</v>
      </c>
      <c r="M24" t="n">
        <v>2.5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2</v>
      </c>
      <c r="AG24" t="inlineStr">
        <is>
          <t>alineado</t>
        </is>
      </c>
      <c r="AH24" t="inlineStr">
        <is>
          <t>alineado</t>
        </is>
      </c>
    </row>
    <row r="25">
      <c r="A25" t="inlineStr">
        <is>
          <t>Biomoléculas</t>
        </is>
      </c>
      <c r="B25" t="inlineStr">
        <is>
          <t>alineado</t>
        </is>
      </c>
      <c r="C25" t="n">
        <v>6</v>
      </c>
      <c r="D25" t="n">
        <v>6</v>
      </c>
      <c r="F25" t="n">
        <v>8</v>
      </c>
      <c r="G25" t="n">
        <v>6</v>
      </c>
      <c r="H25" t="n">
        <v>2</v>
      </c>
      <c r="J25" t="n">
        <v>7</v>
      </c>
      <c r="L25" t="n">
        <v>7.5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  <c r="Z25" t="n">
        <v>1</v>
      </c>
      <c r="AF25" t="n">
        <v>6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Cadena alimentaria</t>
        </is>
      </c>
      <c r="B26" t="inlineStr">
        <is>
          <t>alineado</t>
        </is>
      </c>
      <c r="C26" t="n">
        <v>4</v>
      </c>
      <c r="D26" t="n">
        <v>4</v>
      </c>
      <c r="E26" t="n">
        <v>3</v>
      </c>
      <c r="F26" t="n">
        <v>2.5</v>
      </c>
      <c r="G26" t="n">
        <v>2</v>
      </c>
      <c r="H26" t="n">
        <v>3</v>
      </c>
      <c r="I26" t="n">
        <v>5</v>
      </c>
      <c r="J26" t="n">
        <v>2.5</v>
      </c>
      <c r="K26" t="n">
        <v>2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4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Célula animal y célula vegetal</t>
        </is>
      </c>
      <c r="B27" t="inlineStr">
        <is>
          <t>alineado</t>
        </is>
      </c>
      <c r="C27" t="n">
        <v>6</v>
      </c>
      <c r="D27" t="n">
        <v>6</v>
      </c>
      <c r="E27" t="n">
        <v>7</v>
      </c>
      <c r="F27" t="n">
        <v>8</v>
      </c>
      <c r="G27" t="n">
        <v>6</v>
      </c>
      <c r="H27" t="n">
        <v>5</v>
      </c>
      <c r="I27" t="n">
        <v>7</v>
      </c>
      <c r="J27" t="n">
        <v>4.5</v>
      </c>
      <c r="K27" t="n">
        <v>7</v>
      </c>
      <c r="L27" t="n">
        <v>7.5</v>
      </c>
      <c r="M27" t="n">
        <v>7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Ciclo de vida de las plantas</t>
        </is>
      </c>
      <c r="B28" t="inlineStr">
        <is>
          <t>alineado</t>
        </is>
      </c>
      <c r="C28" t="n">
        <v>2</v>
      </c>
      <c r="D28" t="n">
        <v>2</v>
      </c>
      <c r="E28" t="n">
        <v>2</v>
      </c>
      <c r="F28" t="n">
        <v>8</v>
      </c>
      <c r="G28" t="n">
        <v>2</v>
      </c>
      <c r="H28" t="n">
        <v>2</v>
      </c>
      <c r="I28" t="n">
        <v>2</v>
      </c>
      <c r="J28" t="n">
        <v>2.5</v>
      </c>
      <c r="K28" t="n">
        <v>2</v>
      </c>
      <c r="L28" t="n">
        <v>3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2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Ciclo de vida de los animales</t>
        </is>
      </c>
      <c r="B29" t="inlineStr">
        <is>
          <t>alineado</t>
        </is>
      </c>
      <c r="C29" t="n">
        <v>3</v>
      </c>
      <c r="D29" t="n">
        <v>3</v>
      </c>
      <c r="E29" t="n">
        <v>2</v>
      </c>
      <c r="F29" t="n">
        <v>8</v>
      </c>
      <c r="G29" t="n">
        <v>2</v>
      </c>
      <c r="H29" t="n">
        <v>2</v>
      </c>
      <c r="I29" t="n">
        <v>2</v>
      </c>
      <c r="J29" t="n">
        <v>2.5</v>
      </c>
      <c r="L29" t="n">
        <v>3</v>
      </c>
      <c r="M29" t="n">
        <v>2.5</v>
      </c>
      <c r="N29" t="n">
        <v>1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U29" t="n">
        <v>1</v>
      </c>
      <c r="V29" t="n">
        <v>1</v>
      </c>
      <c r="AF29" t="n">
        <v>3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Clasificación de seres vivos por sus rasgos</t>
        </is>
      </c>
      <c r="B30" t="inlineStr">
        <is>
          <t>alineado</t>
        </is>
      </c>
      <c r="C30" t="n">
        <v>2</v>
      </c>
      <c r="D30" t="n">
        <v>2</v>
      </c>
      <c r="E30" t="n">
        <v>2</v>
      </c>
      <c r="F30" t="n">
        <v>2.5</v>
      </c>
      <c r="G30" t="n">
        <v>2</v>
      </c>
      <c r="H30" t="n">
        <v>2</v>
      </c>
      <c r="I30" t="n">
        <v>2</v>
      </c>
      <c r="J30" t="n">
        <v>2.5</v>
      </c>
      <c r="K30" t="n">
        <v>3</v>
      </c>
      <c r="L30" t="n">
        <v>3</v>
      </c>
      <c r="M30" t="n">
        <v>2.5</v>
      </c>
      <c r="N30" t="n">
        <v>1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2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Competencia por recursos</t>
        </is>
      </c>
      <c r="B31" t="inlineStr">
        <is>
          <t>alineado</t>
        </is>
      </c>
      <c r="C31" t="n">
        <v>4</v>
      </c>
      <c r="D31" t="n">
        <v>4</v>
      </c>
      <c r="F31" t="n">
        <v>8</v>
      </c>
      <c r="G31" t="n">
        <v>2</v>
      </c>
      <c r="H31" t="n">
        <v>3</v>
      </c>
      <c r="I31" t="n">
        <v>5</v>
      </c>
      <c r="K31" t="n">
        <v>3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T31" t="n">
        <v>1</v>
      </c>
      <c r="V31" t="n">
        <v>1</v>
      </c>
      <c r="AF31" t="n">
        <v>4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Concepto de especie</t>
        </is>
      </c>
      <c r="B32" t="inlineStr">
        <is>
          <t>alineado</t>
        </is>
      </c>
      <c r="C32" t="n">
        <v>7</v>
      </c>
      <c r="D32" t="n">
        <v>7</v>
      </c>
      <c r="F32" t="n">
        <v>2.5</v>
      </c>
      <c r="G32" t="n">
        <v>6</v>
      </c>
      <c r="J32" t="n">
        <v>7</v>
      </c>
      <c r="L32" t="n">
        <v>6</v>
      </c>
      <c r="M32" t="n">
        <v>4.5</v>
      </c>
      <c r="O32" t="n">
        <v>1</v>
      </c>
      <c r="P32" t="n">
        <v>1</v>
      </c>
      <c r="S32" t="n">
        <v>1</v>
      </c>
      <c r="U32" t="n">
        <v>1</v>
      </c>
      <c r="V32" t="n">
        <v>1</v>
      </c>
      <c r="AF32" t="n">
        <v>7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Contagio y prevención de enfermedades</t>
        </is>
      </c>
      <c r="B33" t="inlineStr">
        <is>
          <t>alineado</t>
        </is>
      </c>
      <c r="C33" t="n">
        <v>2</v>
      </c>
      <c r="D33" t="n">
        <v>2</v>
      </c>
      <c r="F33" t="n">
        <v>8</v>
      </c>
      <c r="G33" t="n">
        <v>2</v>
      </c>
      <c r="H33" t="n">
        <v>3</v>
      </c>
      <c r="J33" t="n">
        <v>2.5</v>
      </c>
      <c r="O33" t="n">
        <v>1</v>
      </c>
      <c r="P33" t="n">
        <v>1</v>
      </c>
      <c r="Q33" t="n">
        <v>1</v>
      </c>
      <c r="S33" t="n">
        <v>1</v>
      </c>
      <c r="Z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Crecimiento poblacional</t>
        </is>
      </c>
      <c r="B34" t="inlineStr">
        <is>
          <t>alineado</t>
        </is>
      </c>
      <c r="C34" t="n">
        <v>6</v>
      </c>
      <c r="D34" t="n">
        <v>6</v>
      </c>
      <c r="F34" t="n">
        <v>8</v>
      </c>
      <c r="H34" t="n">
        <v>7</v>
      </c>
      <c r="L34" t="n">
        <v>7.5</v>
      </c>
      <c r="M34" t="n">
        <v>7</v>
      </c>
      <c r="O34" t="n">
        <v>1</v>
      </c>
      <c r="Q34" t="n">
        <v>1</v>
      </c>
      <c r="U34" t="n">
        <v>1</v>
      </c>
      <c r="V34" t="n">
        <v>1</v>
      </c>
      <c r="AF34" t="n">
        <v>7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Depredación</t>
        </is>
      </c>
      <c r="B35" t="inlineStr">
        <is>
          <t>alineado</t>
        </is>
      </c>
      <c r="C35" t="n">
        <v>4</v>
      </c>
      <c r="D35" t="n">
        <v>4</v>
      </c>
      <c r="F35" t="n">
        <v>2.5</v>
      </c>
      <c r="G35" t="n">
        <v>2</v>
      </c>
      <c r="H35" t="n">
        <v>3</v>
      </c>
      <c r="I35" t="n">
        <v>5</v>
      </c>
      <c r="K35" t="n">
        <v>5</v>
      </c>
      <c r="L35" t="n">
        <v>6</v>
      </c>
      <c r="O35" t="n">
        <v>1</v>
      </c>
      <c r="P35" t="n">
        <v>1</v>
      </c>
      <c r="Q35" t="n">
        <v>1</v>
      </c>
      <c r="R35" t="n">
        <v>1</v>
      </c>
      <c r="T35" t="n">
        <v>1</v>
      </c>
      <c r="U35" t="n">
        <v>1</v>
      </c>
      <c r="AF35" t="n">
        <v>4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Difusión y ósmosis</t>
        </is>
      </c>
      <c r="B36" t="inlineStr">
        <is>
          <t>alineado</t>
        </is>
      </c>
      <c r="C36" t="n">
        <v>6</v>
      </c>
      <c r="D36" t="n">
        <v>6</v>
      </c>
      <c r="G36" t="n">
        <v>6</v>
      </c>
      <c r="K36" t="n">
        <v>7</v>
      </c>
      <c r="L36" t="n">
        <v>7.5</v>
      </c>
      <c r="P36" t="n">
        <v>1</v>
      </c>
      <c r="T36" t="n">
        <v>1</v>
      </c>
      <c r="U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Digestión química y absorción de nutrientes</t>
        </is>
      </c>
      <c r="B37" t="inlineStr">
        <is>
          <t>alineado</t>
        </is>
      </c>
      <c r="C37" t="n">
        <v>8</v>
      </c>
      <c r="D37" t="n">
        <v>8</v>
      </c>
      <c r="F37" t="n">
        <v>8</v>
      </c>
      <c r="G37" t="n">
        <v>4</v>
      </c>
      <c r="I37" t="n">
        <v>5</v>
      </c>
      <c r="J37" t="n">
        <v>7</v>
      </c>
      <c r="L37" t="n">
        <v>7.5</v>
      </c>
      <c r="M37" t="n">
        <v>7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Z37" t="n">
        <v>1</v>
      </c>
      <c r="AF37" t="n">
        <v>8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Estructuras celulares básicas</t>
        </is>
      </c>
      <c r="B38" t="inlineStr">
        <is>
          <t>alineado</t>
        </is>
      </c>
      <c r="C38" t="n">
        <v>6</v>
      </c>
      <c r="D38" t="n">
        <v>6</v>
      </c>
      <c r="E38" t="n">
        <v>7</v>
      </c>
      <c r="F38" t="n">
        <v>8</v>
      </c>
      <c r="G38" t="n">
        <v>6</v>
      </c>
      <c r="H38" t="n">
        <v>5</v>
      </c>
      <c r="I38" t="n">
        <v>7</v>
      </c>
      <c r="J38" t="n">
        <v>4.5</v>
      </c>
      <c r="K38" t="n">
        <v>7</v>
      </c>
      <c r="L38" t="n">
        <v>7.5</v>
      </c>
      <c r="M38" t="n">
        <v>7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t="n">
        <v>1</v>
      </c>
      <c r="Z38" t="n">
        <v>1</v>
      </c>
      <c r="AF38" t="n">
        <v>6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Estructuras del cuerpo animal y su función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2.5</v>
      </c>
      <c r="G39" t="n">
        <v>2</v>
      </c>
      <c r="H39" t="n">
        <v>2</v>
      </c>
      <c r="I39" t="n">
        <v>3</v>
      </c>
      <c r="J39" t="n">
        <v>2.5</v>
      </c>
      <c r="K39" t="n">
        <v>4</v>
      </c>
      <c r="L39" t="n">
        <v>4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Z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Extinción de especies</t>
        </is>
      </c>
      <c r="B40" t="inlineStr">
        <is>
          <t>alineado</t>
        </is>
      </c>
      <c r="C40" t="n">
        <v>5</v>
      </c>
      <c r="D40" t="n">
        <v>5</v>
      </c>
      <c r="F40" t="n">
        <v>8</v>
      </c>
      <c r="G40" t="n">
        <v>2</v>
      </c>
      <c r="H40" t="n">
        <v>5</v>
      </c>
      <c r="K40" t="n">
        <v>3</v>
      </c>
      <c r="L40" t="n">
        <v>6</v>
      </c>
      <c r="M40" t="n">
        <v>4.5</v>
      </c>
      <c r="O40" t="n">
        <v>1</v>
      </c>
      <c r="P40" t="n">
        <v>1</v>
      </c>
      <c r="Q40" t="n">
        <v>1</v>
      </c>
      <c r="T40" t="n">
        <v>1</v>
      </c>
      <c r="U40" t="n">
        <v>1</v>
      </c>
      <c r="V40" t="n">
        <v>1</v>
      </c>
      <c r="AF40" t="n">
        <v>5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Factores bióticos y abióticos</t>
        </is>
      </c>
      <c r="B41" t="inlineStr">
        <is>
          <t>alineado</t>
        </is>
      </c>
      <c r="C41" t="n">
        <v>4</v>
      </c>
      <c r="D41" t="n">
        <v>4</v>
      </c>
      <c r="E41" t="n">
        <v>5</v>
      </c>
      <c r="F41" t="n">
        <v>5</v>
      </c>
      <c r="G41" t="n">
        <v>2</v>
      </c>
      <c r="H41" t="n">
        <v>2</v>
      </c>
      <c r="I41" t="n">
        <v>5</v>
      </c>
      <c r="J41" t="n">
        <v>2.5</v>
      </c>
      <c r="K41" t="n">
        <v>2</v>
      </c>
      <c r="L41" t="n">
        <v>4.5</v>
      </c>
      <c r="M41" t="n">
        <v>2.5</v>
      </c>
      <c r="N41" t="n">
        <v>1</v>
      </c>
      <c r="O41" t="n">
        <v>1</v>
      </c>
      <c r="P41" t="n">
        <v>1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t="n">
        <v>1</v>
      </c>
      <c r="AF41" t="n">
        <v>4</v>
      </c>
      <c r="AG41" t="inlineStr">
        <is>
          <t>alineado</t>
        </is>
      </c>
      <c r="AH41" t="inlineStr">
        <is>
          <t>tardio</t>
        </is>
      </c>
    </row>
    <row r="42">
      <c r="A42" t="inlineStr">
        <is>
          <t>Fecundación y desarrollo embrionario</t>
        </is>
      </c>
      <c r="B42" t="inlineStr">
        <is>
          <t>alineado</t>
        </is>
      </c>
      <c r="C42" t="n">
        <v>6</v>
      </c>
      <c r="D42" t="n">
        <v>6</v>
      </c>
      <c r="F42" t="n">
        <v>8</v>
      </c>
      <c r="G42" t="n">
        <v>6</v>
      </c>
      <c r="H42" t="n">
        <v>7</v>
      </c>
      <c r="I42" t="n">
        <v>4</v>
      </c>
      <c r="J42" t="n">
        <v>7</v>
      </c>
      <c r="L42" t="n">
        <v>5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U42" t="n">
        <v>1</v>
      </c>
      <c r="Z42" t="n">
        <v>1</v>
      </c>
      <c r="AF42" t="n">
        <v>6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Flujo de energía y pirámides ecológicas</t>
        </is>
      </c>
      <c r="B43" t="inlineStr">
        <is>
          <t>alineado</t>
        </is>
      </c>
      <c r="C43" t="n">
        <v>7</v>
      </c>
      <c r="D43" t="n">
        <v>7</v>
      </c>
      <c r="E43" t="n">
        <v>6</v>
      </c>
      <c r="G43" t="n">
        <v>8.5</v>
      </c>
      <c r="H43" t="n">
        <v>5</v>
      </c>
      <c r="K43" t="n">
        <v>6</v>
      </c>
      <c r="L43" t="n">
        <v>6</v>
      </c>
      <c r="M43" t="n">
        <v>4.5</v>
      </c>
      <c r="N43" t="n">
        <v>1</v>
      </c>
      <c r="P43" t="n">
        <v>1</v>
      </c>
      <c r="Q43" t="n">
        <v>1</v>
      </c>
      <c r="T43" t="n">
        <v>1</v>
      </c>
      <c r="U43" t="n">
        <v>1</v>
      </c>
      <c r="V43" t="n">
        <v>1</v>
      </c>
      <c r="AF43" t="n">
        <v>7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Genética humana y enfermedades hereditarias</t>
        </is>
      </c>
      <c r="B44" t="inlineStr">
        <is>
          <t>alineado</t>
        </is>
      </c>
      <c r="C44" t="n">
        <v>7</v>
      </c>
      <c r="D44" t="n">
        <v>7</v>
      </c>
      <c r="F44" t="n">
        <v>8</v>
      </c>
      <c r="G44" t="n">
        <v>8.5</v>
      </c>
      <c r="H44" t="n">
        <v>7</v>
      </c>
      <c r="J44" t="n">
        <v>7</v>
      </c>
      <c r="M44" t="n">
        <v>7</v>
      </c>
      <c r="O44" t="n">
        <v>1</v>
      </c>
      <c r="P44" t="n">
        <v>1</v>
      </c>
      <c r="Q44" t="n">
        <v>1</v>
      </c>
      <c r="S44" t="n">
        <v>1</v>
      </c>
      <c r="V44" t="n">
        <v>1</v>
      </c>
      <c r="Z44" t="n">
        <v>1</v>
      </c>
      <c r="AF44" t="n">
        <v>7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Genotipo y fenotipo</t>
        </is>
      </c>
      <c r="B45" t="inlineStr">
        <is>
          <t>alineado</t>
        </is>
      </c>
      <c r="C45" t="n">
        <v>7</v>
      </c>
      <c r="D45" t="n">
        <v>7</v>
      </c>
      <c r="F45" t="n">
        <v>8</v>
      </c>
      <c r="G45" t="n">
        <v>6</v>
      </c>
      <c r="H45" t="n">
        <v>3</v>
      </c>
      <c r="I45" t="n">
        <v>8</v>
      </c>
      <c r="J45" t="n">
        <v>7</v>
      </c>
      <c r="M45" t="n">
        <v>7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V45" t="n">
        <v>1</v>
      </c>
      <c r="Z45" t="n">
        <v>1</v>
      </c>
      <c r="AF45" t="n">
        <v>7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Grupos de vertebrados</t>
        </is>
      </c>
      <c r="B46" t="inlineStr">
        <is>
          <t>alineado</t>
        </is>
      </c>
      <c r="C46" t="n">
        <v>2</v>
      </c>
      <c r="D46" t="n">
        <v>2</v>
      </c>
      <c r="F46" t="n">
        <v>2.5</v>
      </c>
      <c r="G46" t="n">
        <v>2</v>
      </c>
      <c r="H46" t="n">
        <v>2</v>
      </c>
      <c r="I46" t="n">
        <v>4</v>
      </c>
      <c r="K46" t="n">
        <v>5</v>
      </c>
      <c r="M46" t="n">
        <v>2.5</v>
      </c>
      <c r="O46" t="n">
        <v>1</v>
      </c>
      <c r="P46" t="n">
        <v>1</v>
      </c>
      <c r="Q46" t="n">
        <v>1</v>
      </c>
      <c r="R46" t="n">
        <v>1</v>
      </c>
      <c r="T46" t="n">
        <v>1</v>
      </c>
      <c r="V46" t="n">
        <v>1</v>
      </c>
      <c r="AF46" t="n">
        <v>2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Hábitat y ecosistemas comunes</t>
        </is>
      </c>
      <c r="B47" t="inlineStr">
        <is>
          <t>alineado</t>
        </is>
      </c>
      <c r="C47" t="n">
        <v>2</v>
      </c>
      <c r="D47" t="n">
        <v>2</v>
      </c>
      <c r="E47" t="n">
        <v>2</v>
      </c>
      <c r="F47" t="n">
        <v>2.5</v>
      </c>
      <c r="G47" t="n">
        <v>2</v>
      </c>
      <c r="H47" t="n">
        <v>2</v>
      </c>
      <c r="I47" t="n">
        <v>2</v>
      </c>
      <c r="J47" t="n">
        <v>2.5</v>
      </c>
      <c r="K47" t="n">
        <v>2</v>
      </c>
      <c r="L47" t="n">
        <v>6</v>
      </c>
      <c r="M47" t="n">
        <v>2.5</v>
      </c>
      <c r="N47" t="n">
        <v>1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t="n">
        <v>1</v>
      </c>
      <c r="AF47" t="n">
        <v>2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Hábitos de vida saludable</t>
        </is>
      </c>
      <c r="B48" t="inlineStr">
        <is>
          <t>alineado</t>
        </is>
      </c>
      <c r="C48" t="n">
        <v>2</v>
      </c>
      <c r="D48" t="n">
        <v>2</v>
      </c>
      <c r="F48" t="n">
        <v>2.5</v>
      </c>
      <c r="G48" t="n">
        <v>2</v>
      </c>
      <c r="H48" t="n">
        <v>2</v>
      </c>
      <c r="J48" t="n">
        <v>2.5</v>
      </c>
      <c r="K48" t="n">
        <v>4</v>
      </c>
      <c r="L48" t="n">
        <v>7.5</v>
      </c>
      <c r="O48" t="n">
        <v>1</v>
      </c>
      <c r="P48" t="n">
        <v>1</v>
      </c>
      <c r="Q48" t="n">
        <v>1</v>
      </c>
      <c r="S48" t="n">
        <v>1</v>
      </c>
      <c r="T48" t="n">
        <v>1</v>
      </c>
      <c r="U48" t="n">
        <v>1</v>
      </c>
      <c r="Z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Herencia mendeliana</t>
        </is>
      </c>
      <c r="B49" t="inlineStr">
        <is>
          <t>alineado</t>
        </is>
      </c>
      <c r="C49" t="n">
        <v>7</v>
      </c>
      <c r="D49" t="n">
        <v>7</v>
      </c>
      <c r="F49" t="n">
        <v>8</v>
      </c>
      <c r="G49" t="n">
        <v>8.5</v>
      </c>
      <c r="H49" t="n">
        <v>7</v>
      </c>
      <c r="I49" t="n">
        <v>8</v>
      </c>
      <c r="J49" t="n">
        <v>7</v>
      </c>
      <c r="M49" t="n">
        <v>7</v>
      </c>
      <c r="O49" t="n">
        <v>1</v>
      </c>
      <c r="P49" t="n">
        <v>1</v>
      </c>
      <c r="Q49" t="n">
        <v>1</v>
      </c>
      <c r="R49" t="n">
        <v>1</v>
      </c>
      <c r="S49" t="n">
        <v>1</v>
      </c>
      <c r="V49" t="n">
        <v>1</v>
      </c>
      <c r="AF49" t="n">
        <v>7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Homeostasis</t>
        </is>
      </c>
      <c r="B50" t="inlineStr">
        <is>
          <t>alineado</t>
        </is>
      </c>
      <c r="C50" t="n">
        <v>8</v>
      </c>
      <c r="D50" t="n">
        <v>8</v>
      </c>
      <c r="E50" t="n">
        <v>8</v>
      </c>
      <c r="F50" t="n">
        <v>8</v>
      </c>
      <c r="G50" t="n">
        <v>8.5</v>
      </c>
      <c r="H50" t="n">
        <v>7</v>
      </c>
      <c r="J50" t="n">
        <v>7</v>
      </c>
      <c r="K50" t="n">
        <v>4</v>
      </c>
      <c r="M50" t="n">
        <v>4.5</v>
      </c>
      <c r="N50" t="n">
        <v>1</v>
      </c>
      <c r="O50" t="n">
        <v>1</v>
      </c>
      <c r="P50" t="n">
        <v>1</v>
      </c>
      <c r="Q50" t="n">
        <v>1</v>
      </c>
      <c r="S50" t="n">
        <v>1</v>
      </c>
      <c r="T50" t="n">
        <v>1</v>
      </c>
      <c r="V50" t="n">
        <v>1</v>
      </c>
      <c r="Z50" t="n">
        <v>1</v>
      </c>
      <c r="AF50" t="n">
        <v>8</v>
      </c>
      <c r="AG50" t="inlineStr">
        <is>
          <t>alineado</t>
        </is>
      </c>
      <c r="AH50" t="inlineStr">
        <is>
          <t>alineado</t>
        </is>
      </c>
    </row>
    <row r="51">
      <c r="A51" t="inlineStr">
        <is>
          <t>Invertebrados e insectos</t>
        </is>
      </c>
      <c r="B51" t="inlineStr">
        <is>
          <t>alineado</t>
        </is>
      </c>
      <c r="C51" t="n">
        <v>2</v>
      </c>
      <c r="D51" t="n">
        <v>2</v>
      </c>
      <c r="F51" t="n">
        <v>2.5</v>
      </c>
      <c r="G51" t="n">
        <v>3</v>
      </c>
      <c r="H51" t="n">
        <v>2</v>
      </c>
      <c r="I51" t="n">
        <v>2</v>
      </c>
      <c r="O51" t="n">
        <v>1</v>
      </c>
      <c r="P51" t="n">
        <v>1</v>
      </c>
      <c r="Q51" t="n">
        <v>1</v>
      </c>
      <c r="R51" t="n">
        <v>1</v>
      </c>
      <c r="AF51" t="n">
        <v>2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Necesidades de los seres vivos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2</v>
      </c>
      <c r="H52" t="n">
        <v>2</v>
      </c>
      <c r="I52" t="n">
        <v>4</v>
      </c>
      <c r="J52" t="n">
        <v>2.5</v>
      </c>
      <c r="K52" t="n">
        <v>2</v>
      </c>
      <c r="L52" t="n">
        <v>3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Órganos de los sentidos</t>
        </is>
      </c>
      <c r="B53" t="inlineStr">
        <is>
          <t>alineado</t>
        </is>
      </c>
      <c r="C53" t="n">
        <v>4</v>
      </c>
      <c r="D53" t="n">
        <v>4</v>
      </c>
      <c r="F53" t="n">
        <v>8</v>
      </c>
      <c r="G53" t="n">
        <v>2</v>
      </c>
      <c r="H53" t="n">
        <v>2</v>
      </c>
      <c r="I53" t="n">
        <v>7</v>
      </c>
      <c r="J53" t="n">
        <v>7</v>
      </c>
      <c r="M53" t="n">
        <v>2.5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V53" t="n">
        <v>1</v>
      </c>
      <c r="AF53" t="n">
        <v>4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Partes de la planta y sus funciones</t>
        </is>
      </c>
      <c r="B54" t="inlineStr">
        <is>
          <t>alineado</t>
        </is>
      </c>
      <c r="C54" t="n">
        <v>2</v>
      </c>
      <c r="D54" t="n">
        <v>2</v>
      </c>
      <c r="E54" t="n">
        <v>2</v>
      </c>
      <c r="F54" t="n">
        <v>2.5</v>
      </c>
      <c r="G54" t="n">
        <v>2</v>
      </c>
      <c r="H54" t="n">
        <v>2</v>
      </c>
      <c r="I54" t="n">
        <v>2</v>
      </c>
      <c r="J54" t="n">
        <v>2.5</v>
      </c>
      <c r="K54" t="n">
        <v>2</v>
      </c>
      <c r="L54" t="n">
        <v>4</v>
      </c>
      <c r="M54" t="n">
        <v>2.5</v>
      </c>
      <c r="N54" t="n">
        <v>1</v>
      </c>
      <c r="O54" t="n">
        <v>1</v>
      </c>
      <c r="P54" t="n">
        <v>1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t="n">
        <v>1</v>
      </c>
      <c r="AF54" t="n">
        <v>2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Productores, consumidores y descomponedores</t>
        </is>
      </c>
      <c r="B55" t="inlineStr">
        <is>
          <t>alineado</t>
        </is>
      </c>
      <c r="C55" t="n">
        <v>3</v>
      </c>
      <c r="D55" t="n">
        <v>3</v>
      </c>
      <c r="E55" t="n">
        <v>3</v>
      </c>
      <c r="F55" t="n">
        <v>2.5</v>
      </c>
      <c r="G55" t="n">
        <v>2</v>
      </c>
      <c r="H55" t="n">
        <v>3</v>
      </c>
      <c r="I55" t="n">
        <v>8</v>
      </c>
      <c r="J55" t="n">
        <v>2.5</v>
      </c>
      <c r="K55" t="n">
        <v>2</v>
      </c>
      <c r="L55" t="n">
        <v>6</v>
      </c>
      <c r="M55" t="n">
        <v>7</v>
      </c>
      <c r="N55" t="n">
        <v>1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t="n">
        <v>1</v>
      </c>
      <c r="AF55" t="n">
        <v>3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Reproducción sexual de las plantas con flor</t>
        </is>
      </c>
      <c r="B56" t="inlineStr">
        <is>
          <t>alineado</t>
        </is>
      </c>
      <c r="C56" t="n">
        <v>6</v>
      </c>
      <c r="D56" t="n">
        <v>6</v>
      </c>
      <c r="E56" t="n">
        <v>8</v>
      </c>
      <c r="F56" t="n">
        <v>8</v>
      </c>
      <c r="G56" t="n">
        <v>2</v>
      </c>
      <c r="H56" t="n">
        <v>2</v>
      </c>
      <c r="I56" t="n">
        <v>4</v>
      </c>
      <c r="K56" t="n">
        <v>2</v>
      </c>
      <c r="L56" t="n">
        <v>5</v>
      </c>
      <c r="M56" t="n">
        <v>7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T56" t="n">
        <v>1</v>
      </c>
      <c r="U56" t="n">
        <v>1</v>
      </c>
      <c r="V56" t="n">
        <v>1</v>
      </c>
      <c r="AF56" t="n">
        <v>6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Reproducción sexual y asexual</t>
        </is>
      </c>
      <c r="B57" t="inlineStr">
        <is>
          <t>alineado</t>
        </is>
      </c>
      <c r="C57" t="n">
        <v>6</v>
      </c>
      <c r="D57" t="n">
        <v>6</v>
      </c>
      <c r="E57" t="n">
        <v>8</v>
      </c>
      <c r="F57" t="n">
        <v>8</v>
      </c>
      <c r="G57" t="n">
        <v>3</v>
      </c>
      <c r="H57" t="n">
        <v>3</v>
      </c>
      <c r="I57" t="n">
        <v>4</v>
      </c>
      <c r="L57" t="n">
        <v>5</v>
      </c>
      <c r="M57" t="n">
        <v>2.5</v>
      </c>
      <c r="N57" t="n">
        <v>1</v>
      </c>
      <c r="O57" t="n">
        <v>1</v>
      </c>
      <c r="P57" t="n">
        <v>1</v>
      </c>
      <c r="Q57" t="n">
        <v>1</v>
      </c>
      <c r="R57" t="n">
        <v>1</v>
      </c>
      <c r="U57" t="n">
        <v>1</v>
      </c>
      <c r="V57" t="n">
        <v>1</v>
      </c>
      <c r="Z57" t="n">
        <v>1</v>
      </c>
      <c r="AF57" t="n">
        <v>6</v>
      </c>
      <c r="AG57" t="inlineStr">
        <is>
          <t>alineado</t>
        </is>
      </c>
      <c r="AH57" t="inlineStr">
        <is>
          <t>alineado</t>
        </is>
      </c>
    </row>
    <row r="58">
      <c r="A58" t="inlineStr">
        <is>
          <t>Antibióticos y resistencia bacteriana</t>
        </is>
      </c>
      <c r="B58" t="inlineStr">
        <is>
          <t>alineado</t>
        </is>
      </c>
      <c r="C58" t="n">
        <v>7</v>
      </c>
      <c r="D58" t="n">
        <v>7</v>
      </c>
      <c r="G58" t="n">
        <v>8.5</v>
      </c>
      <c r="H58" t="n">
        <v>4</v>
      </c>
      <c r="L58" t="n">
        <v>7.5</v>
      </c>
      <c r="P58" t="n">
        <v>1</v>
      </c>
      <c r="Q58" t="n">
        <v>1</v>
      </c>
      <c r="U58" t="n">
        <v>1</v>
      </c>
      <c r="Z58" t="n">
        <v>1</v>
      </c>
      <c r="AF58" t="n">
        <v>7</v>
      </c>
      <c r="AG58" t="inlineStr">
        <is>
          <t>alineado</t>
        </is>
      </c>
      <c r="AH58" t="inlineStr">
        <is>
          <t>alineado</t>
        </is>
      </c>
    </row>
    <row r="59">
      <c r="A59" t="inlineStr">
        <is>
          <t>Respiración celular</t>
        </is>
      </c>
      <c r="B59" t="inlineStr">
        <is>
          <t>alineado</t>
        </is>
      </c>
      <c r="C59" t="n">
        <v>6</v>
      </c>
      <c r="D59" t="n">
        <v>6</v>
      </c>
      <c r="E59" t="n">
        <v>8</v>
      </c>
      <c r="F59" t="n">
        <v>5</v>
      </c>
      <c r="G59" t="n">
        <v>6</v>
      </c>
      <c r="H59" t="n">
        <v>7</v>
      </c>
      <c r="I59" t="n">
        <v>7</v>
      </c>
      <c r="J59" t="n">
        <v>7</v>
      </c>
      <c r="K59" t="n">
        <v>7</v>
      </c>
      <c r="L59" t="n">
        <v>6</v>
      </c>
      <c r="M59" t="n">
        <v>7</v>
      </c>
      <c r="N59" t="n">
        <v>1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t="n">
        <v>1</v>
      </c>
      <c r="AF59" t="n">
        <v>6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Modelo estímulo-respuesta y retroalimentación negativa</t>
        </is>
      </c>
      <c r="B60" t="inlineStr">
        <is>
          <t>alineado</t>
        </is>
      </c>
      <c r="C60" t="n">
        <v>9</v>
      </c>
      <c r="E60" t="n">
        <v>8</v>
      </c>
      <c r="F60" t="n">
        <v>8</v>
      </c>
      <c r="G60" t="n">
        <v>8.5</v>
      </c>
      <c r="H60" t="n">
        <v>7</v>
      </c>
      <c r="I60" t="n">
        <v>7</v>
      </c>
      <c r="J60" t="n">
        <v>7</v>
      </c>
      <c r="M60" t="n">
        <v>4.5</v>
      </c>
      <c r="N60" t="n">
        <v>1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V60" t="n">
        <v>1</v>
      </c>
      <c r="AF60" t="n">
        <v>9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Selección natural</t>
        </is>
      </c>
      <c r="B61" t="inlineStr">
        <is>
          <t>alineado</t>
        </is>
      </c>
      <c r="C61" t="n">
        <v>7</v>
      </c>
      <c r="D61" t="n">
        <v>7</v>
      </c>
      <c r="F61" t="n">
        <v>8</v>
      </c>
      <c r="G61" t="n">
        <v>4</v>
      </c>
      <c r="K61" t="n">
        <v>5</v>
      </c>
      <c r="L61" t="n">
        <v>6</v>
      </c>
      <c r="O61" t="n">
        <v>1</v>
      </c>
      <c r="P61" t="n">
        <v>1</v>
      </c>
      <c r="T61" t="n">
        <v>1</v>
      </c>
      <c r="U61" t="n">
        <v>1</v>
      </c>
      <c r="Z61" t="n">
        <v>1</v>
      </c>
      <c r="AF61" t="n">
        <v>7</v>
      </c>
      <c r="AG61" t="inlineStr">
        <is>
          <t>alineado</t>
        </is>
      </c>
      <c r="AH61" t="inlineStr">
        <is>
          <t>alineado</t>
        </is>
      </c>
    </row>
    <row r="62">
      <c r="A62" t="inlineStr">
        <is>
          <t>Seres vivos y no vivos</t>
        </is>
      </c>
      <c r="B62" t="inlineStr">
        <is>
          <t>alineado</t>
        </is>
      </c>
      <c r="C62" t="n">
        <v>2</v>
      </c>
      <c r="D62" t="n">
        <v>2</v>
      </c>
      <c r="E62" t="n">
        <v>2</v>
      </c>
      <c r="F62" t="n">
        <v>2.5</v>
      </c>
      <c r="G62" t="n">
        <v>2</v>
      </c>
      <c r="H62" t="n">
        <v>2</v>
      </c>
      <c r="L62" t="n">
        <v>3</v>
      </c>
      <c r="M62" t="n">
        <v>2.5</v>
      </c>
      <c r="N62" t="n">
        <v>1</v>
      </c>
      <c r="O62" t="n">
        <v>1</v>
      </c>
      <c r="P62" t="n">
        <v>1</v>
      </c>
      <c r="Q62" t="n">
        <v>1</v>
      </c>
      <c r="U62" t="n">
        <v>1</v>
      </c>
      <c r="V62" t="n">
        <v>1</v>
      </c>
      <c r="AF62" t="n">
        <v>2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Sistema circulatorio</t>
        </is>
      </c>
      <c r="B63" t="inlineStr">
        <is>
          <t>alineado</t>
        </is>
      </c>
      <c r="C63" t="n">
        <v>4</v>
      </c>
      <c r="D63" t="n">
        <v>4</v>
      </c>
      <c r="F63" t="n">
        <v>8</v>
      </c>
      <c r="G63" t="n">
        <v>4</v>
      </c>
      <c r="H63" t="n">
        <v>2</v>
      </c>
      <c r="I63" t="n">
        <v>5</v>
      </c>
      <c r="J63" t="n">
        <v>4.5</v>
      </c>
      <c r="K63" t="n">
        <v>4</v>
      </c>
      <c r="L63" t="n">
        <v>4</v>
      </c>
      <c r="M63" t="n">
        <v>7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t="n">
        <v>1</v>
      </c>
      <c r="Z63" t="n">
        <v>1</v>
      </c>
      <c r="AF63" t="n">
        <v>4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Sistema digestivo</t>
        </is>
      </c>
      <c r="B64" t="inlineStr">
        <is>
          <t>alineado</t>
        </is>
      </c>
      <c r="C64" t="n">
        <v>4</v>
      </c>
      <c r="D64" t="n">
        <v>4</v>
      </c>
      <c r="F64" t="n">
        <v>8</v>
      </c>
      <c r="G64" t="n">
        <v>2</v>
      </c>
      <c r="H64" t="n">
        <v>4</v>
      </c>
      <c r="I64" t="n">
        <v>5</v>
      </c>
      <c r="J64" t="n">
        <v>4.5</v>
      </c>
      <c r="K64" t="n">
        <v>4</v>
      </c>
      <c r="L64" t="n">
        <v>4</v>
      </c>
      <c r="M64" t="n">
        <v>7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Z64" t="n">
        <v>1</v>
      </c>
      <c r="AF64" t="n">
        <v>4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Sistema endocrino y hormonas</t>
        </is>
      </c>
      <c r="B65" t="inlineStr">
        <is>
          <t>alineado</t>
        </is>
      </c>
      <c r="C65" t="n">
        <v>9</v>
      </c>
      <c r="E65" t="n">
        <v>8</v>
      </c>
      <c r="F65" t="n">
        <v>8</v>
      </c>
      <c r="G65" t="n">
        <v>8.5</v>
      </c>
      <c r="J65" t="n">
        <v>7</v>
      </c>
      <c r="L65" t="n">
        <v>7.5</v>
      </c>
      <c r="M65" t="n">
        <v>7</v>
      </c>
      <c r="N65" t="n">
        <v>1</v>
      </c>
      <c r="O65" t="n">
        <v>1</v>
      </c>
      <c r="P65" t="n">
        <v>1</v>
      </c>
      <c r="S65" t="n">
        <v>1</v>
      </c>
      <c r="U65" t="n">
        <v>1</v>
      </c>
      <c r="V65" t="n">
        <v>1</v>
      </c>
      <c r="Z65" t="n">
        <v>1</v>
      </c>
      <c r="AF65" t="n">
        <v>9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Sistema locomotor</t>
        </is>
      </c>
      <c r="B66" t="inlineStr">
        <is>
          <t>alineado</t>
        </is>
      </c>
      <c r="C66" t="n">
        <v>4</v>
      </c>
      <c r="D66" t="n">
        <v>4</v>
      </c>
      <c r="F66" t="n">
        <v>8</v>
      </c>
      <c r="G66" t="n">
        <v>2</v>
      </c>
      <c r="H66" t="n">
        <v>2</v>
      </c>
      <c r="I66" t="n">
        <v>3</v>
      </c>
      <c r="J66" t="n">
        <v>4.5</v>
      </c>
      <c r="M66" t="n">
        <v>4.5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V66" t="n">
        <v>1</v>
      </c>
      <c r="AF66" t="n">
        <v>4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Tejidos vegetales</t>
        </is>
      </c>
      <c r="B67" t="inlineStr">
        <is>
          <t>alineado</t>
        </is>
      </c>
      <c r="C67" t="n">
        <v>8</v>
      </c>
      <c r="D67" t="n">
        <v>8</v>
      </c>
      <c r="E67" t="n">
        <v>7</v>
      </c>
      <c r="F67" t="n">
        <v>8</v>
      </c>
      <c r="G67" t="n">
        <v>8.5</v>
      </c>
      <c r="H67" t="n">
        <v>7</v>
      </c>
      <c r="J67" t="n">
        <v>4.5</v>
      </c>
      <c r="L67" t="n">
        <v>7.5</v>
      </c>
      <c r="M67" t="n">
        <v>7</v>
      </c>
      <c r="N67" t="n">
        <v>1</v>
      </c>
      <c r="O67" t="n">
        <v>1</v>
      </c>
      <c r="P67" t="n">
        <v>1</v>
      </c>
      <c r="Q67" t="n">
        <v>1</v>
      </c>
      <c r="S67" t="n">
        <v>1</v>
      </c>
      <c r="U67" t="n">
        <v>1</v>
      </c>
      <c r="V67" t="n">
        <v>1</v>
      </c>
      <c r="AF67" t="n">
        <v>8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Transporte en plantas: xilema y floema</t>
        </is>
      </c>
      <c r="B68" t="inlineStr">
        <is>
          <t>alineado</t>
        </is>
      </c>
      <c r="C68" t="n">
        <v>6</v>
      </c>
      <c r="D68" t="n">
        <v>6</v>
      </c>
      <c r="G68" t="n">
        <v>2</v>
      </c>
      <c r="H68" t="n">
        <v>7</v>
      </c>
      <c r="I68" t="n">
        <v>5</v>
      </c>
      <c r="J68" t="n">
        <v>4.5</v>
      </c>
      <c r="L68" t="n">
        <v>5</v>
      </c>
      <c r="M68" t="n">
        <v>7</v>
      </c>
      <c r="P68" t="n">
        <v>1</v>
      </c>
      <c r="Q68" t="n">
        <v>1</v>
      </c>
      <c r="R68" t="n">
        <v>1</v>
      </c>
      <c r="S68" t="n">
        <v>1</v>
      </c>
      <c r="U68" t="n">
        <v>1</v>
      </c>
      <c r="V68" t="n">
        <v>1</v>
      </c>
      <c r="AF68" t="n">
        <v>8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Variación genética en la descendencia</t>
        </is>
      </c>
      <c r="B69" t="inlineStr">
        <is>
          <t>alineado</t>
        </is>
      </c>
      <c r="C69" t="n">
        <v>6</v>
      </c>
      <c r="D69" t="n">
        <v>6</v>
      </c>
      <c r="F69" t="n">
        <v>8</v>
      </c>
      <c r="G69" t="n">
        <v>4</v>
      </c>
      <c r="H69" t="n">
        <v>7</v>
      </c>
      <c r="I69" t="n">
        <v>8</v>
      </c>
      <c r="K69" t="n">
        <v>5</v>
      </c>
      <c r="L69" t="n">
        <v>7.5</v>
      </c>
      <c r="M69" t="n">
        <v>4.5</v>
      </c>
      <c r="O69" t="n">
        <v>1</v>
      </c>
      <c r="P69" t="n">
        <v>1</v>
      </c>
      <c r="Q69" t="n">
        <v>1</v>
      </c>
      <c r="R69" t="n">
        <v>1</v>
      </c>
      <c r="T69" t="n">
        <v>1</v>
      </c>
      <c r="U69" t="n">
        <v>1</v>
      </c>
      <c r="V69" t="n">
        <v>1</v>
      </c>
      <c r="AF69" t="n">
        <v>7</v>
      </c>
      <c r="AG69" t="inlineStr">
        <is>
          <t>alineado</t>
        </is>
      </c>
      <c r="AH69" t="inlineStr">
        <is>
          <t>alineado</t>
        </is>
      </c>
    </row>
    <row r="70">
      <c r="A70" t="inlineStr">
        <is>
          <t>Adaptaciones conductuales</t>
        </is>
      </c>
      <c r="B70" t="inlineStr">
        <is>
          <t>incierto</t>
        </is>
      </c>
      <c r="C70" t="n">
        <v>3</v>
      </c>
      <c r="D70" t="n">
        <v>3</v>
      </c>
      <c r="E70" t="n">
        <v>4</v>
      </c>
      <c r="F70" t="n">
        <v>5</v>
      </c>
      <c r="G70" t="n">
        <v>4</v>
      </c>
      <c r="H70" t="n">
        <v>3</v>
      </c>
      <c r="I70" t="n">
        <v>3</v>
      </c>
      <c r="J70" t="n">
        <v>2.5</v>
      </c>
      <c r="L70" t="n">
        <v>6</v>
      </c>
      <c r="M70" t="n">
        <v>4.5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U70" t="n">
        <v>1</v>
      </c>
      <c r="V70" t="n">
        <v>1</v>
      </c>
      <c r="AF70" t="n">
        <v>10</v>
      </c>
      <c r="AG70" t="inlineStr">
        <is>
          <t>alineado</t>
        </is>
      </c>
      <c r="AH70" t="inlineStr">
        <is>
          <t>tardio</t>
        </is>
      </c>
    </row>
    <row r="71">
      <c r="A71" t="inlineStr">
        <is>
          <t>ATP y energía en los sistemas vivos</t>
        </is>
      </c>
      <c r="B71" t="inlineStr">
        <is>
          <t>incierto</t>
        </is>
      </c>
      <c r="C71" t="n">
        <v>6</v>
      </c>
      <c r="D71" t="n">
        <v>6</v>
      </c>
      <c r="G71" t="n">
        <v>6</v>
      </c>
      <c r="H71" t="n">
        <v>7</v>
      </c>
      <c r="J71" t="n">
        <v>7</v>
      </c>
      <c r="P71" t="n">
        <v>1</v>
      </c>
      <c r="Q71" t="n">
        <v>1</v>
      </c>
      <c r="S71" t="n">
        <v>1</v>
      </c>
      <c r="AF71" t="n">
        <v>6</v>
      </c>
      <c r="AG71" t="inlineStr">
        <is>
          <t>sin_referente</t>
        </is>
      </c>
      <c r="AH71" t="inlineStr">
        <is>
          <t>alineado</t>
        </is>
      </c>
    </row>
    <row r="72">
      <c r="A72" t="inlineStr">
        <is>
          <t>Atributos de las poblaciones</t>
        </is>
      </c>
      <c r="B72" t="inlineStr">
        <is>
          <t>incierto</t>
        </is>
      </c>
      <c r="C72" t="n">
        <v>7</v>
      </c>
      <c r="D72" t="n">
        <v>7</v>
      </c>
      <c r="F72" t="n">
        <v>8</v>
      </c>
      <c r="G72" t="n">
        <v>8.5</v>
      </c>
      <c r="L72" t="n">
        <v>6</v>
      </c>
      <c r="M72" t="n">
        <v>4.5</v>
      </c>
      <c r="O72" t="n">
        <v>1</v>
      </c>
      <c r="P72" t="n">
        <v>1</v>
      </c>
      <c r="U72" t="n">
        <v>1</v>
      </c>
      <c r="V72" t="n">
        <v>1</v>
      </c>
      <c r="AF72" t="n">
        <v>7</v>
      </c>
      <c r="AG72" t="inlineStr">
        <is>
          <t>sin_referente</t>
        </is>
      </c>
      <c r="AH72" t="inlineStr">
        <is>
          <t>alineado</t>
        </is>
      </c>
    </row>
    <row r="73">
      <c r="A73" t="inlineStr">
        <is>
          <t>Biotecnología vegetal y agroindustria</t>
        </is>
      </c>
      <c r="B73" t="inlineStr">
        <is>
          <t>incierto</t>
        </is>
      </c>
      <c r="C73" t="n">
        <v>6</v>
      </c>
      <c r="D73" t="n">
        <v>6</v>
      </c>
      <c r="F73" t="n">
        <v>8</v>
      </c>
      <c r="G73" t="n">
        <v>8.5</v>
      </c>
      <c r="M73" t="n">
        <v>7</v>
      </c>
      <c r="O73" t="n">
        <v>1</v>
      </c>
      <c r="P73" t="n">
        <v>1</v>
      </c>
      <c r="V73" t="n">
        <v>1</v>
      </c>
      <c r="AF73" t="n">
        <v>6</v>
      </c>
      <c r="AG73" t="inlineStr">
        <is>
          <t>sin_referente</t>
        </is>
      </c>
      <c r="AH73" t="inlineStr">
        <is>
          <t>adelantado</t>
        </is>
      </c>
    </row>
    <row r="74">
      <c r="A74" t="inlineStr">
        <is>
          <t>Cambio climático y seres vivos</t>
        </is>
      </c>
      <c r="B74" t="inlineStr">
        <is>
          <t>incierto</t>
        </is>
      </c>
      <c r="C74" t="n">
        <v>7</v>
      </c>
      <c r="D74" t="n">
        <v>7</v>
      </c>
      <c r="F74" t="n">
        <v>8</v>
      </c>
      <c r="H74" t="n">
        <v>7</v>
      </c>
      <c r="K74" t="n">
        <v>5</v>
      </c>
      <c r="L74" t="n">
        <v>6</v>
      </c>
      <c r="M74" t="n">
        <v>4.5</v>
      </c>
      <c r="O74" t="n">
        <v>1</v>
      </c>
      <c r="Q74" t="n">
        <v>1</v>
      </c>
      <c r="T74" t="n">
        <v>1</v>
      </c>
      <c r="U74" t="n">
        <v>1</v>
      </c>
      <c r="V74" t="n">
        <v>1</v>
      </c>
      <c r="AF74" t="n">
        <v>10</v>
      </c>
      <c r="AG74" t="inlineStr">
        <is>
          <t>alineado</t>
        </is>
      </c>
      <c r="AH74" t="inlineStr">
        <is>
          <t>tardio</t>
        </is>
      </c>
    </row>
    <row r="75">
      <c r="A75" t="inlineStr">
        <is>
          <t>Papel de los seres vivos en el ciclo del agua</t>
        </is>
      </c>
      <c r="B75" t="inlineStr">
        <is>
          <t>incierto</t>
        </is>
      </c>
      <c r="C75" t="n">
        <v>3</v>
      </c>
      <c r="D75" t="n">
        <v>3</v>
      </c>
      <c r="G75" t="n">
        <v>8.5</v>
      </c>
      <c r="H75" t="n">
        <v>7</v>
      </c>
      <c r="I75" t="n">
        <v>5</v>
      </c>
      <c r="J75" t="n">
        <v>4.5</v>
      </c>
      <c r="K75" t="n">
        <v>8</v>
      </c>
      <c r="L75" t="n">
        <v>5</v>
      </c>
      <c r="M75" t="n">
        <v>7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7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Ciclos del carbono y del oxígeno</t>
        </is>
      </c>
      <c r="B76" t="inlineStr">
        <is>
          <t>incierto</t>
        </is>
      </c>
      <c r="C76" t="n">
        <v>3</v>
      </c>
      <c r="D76" t="n">
        <v>3</v>
      </c>
      <c r="E76" t="n">
        <v>8</v>
      </c>
      <c r="F76" t="n">
        <v>5</v>
      </c>
      <c r="G76" t="n">
        <v>6</v>
      </c>
      <c r="H76" t="n">
        <v>5</v>
      </c>
      <c r="J76" t="n">
        <v>4.5</v>
      </c>
      <c r="K76" t="n">
        <v>4</v>
      </c>
      <c r="L76" t="n">
        <v>7.5</v>
      </c>
      <c r="M76" t="n">
        <v>2.5</v>
      </c>
      <c r="N76" t="n">
        <v>1</v>
      </c>
      <c r="O76" t="n">
        <v>1</v>
      </c>
      <c r="P76" t="n">
        <v>1</v>
      </c>
      <c r="Q76" t="n">
        <v>1</v>
      </c>
      <c r="S76" t="n">
        <v>1</v>
      </c>
      <c r="T76" t="n">
        <v>1</v>
      </c>
      <c r="U76" t="n">
        <v>1</v>
      </c>
      <c r="V76" t="n">
        <v>1</v>
      </c>
      <c r="AF76" t="n">
        <v>6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Ciclos del fósforo y del azufre</t>
        </is>
      </c>
      <c r="B77" t="inlineStr">
        <is>
          <t>incierto</t>
        </is>
      </c>
      <c r="C77" t="n">
        <v>8</v>
      </c>
      <c r="D77" t="n">
        <v>8</v>
      </c>
      <c r="AF77" t="n">
        <v>10</v>
      </c>
      <c r="AG77" t="inlineStr">
        <is>
          <t>sin_referente</t>
        </is>
      </c>
      <c r="AH77" t="inlineStr">
        <is>
          <t>posterior</t>
        </is>
      </c>
    </row>
    <row r="78">
      <c r="A78" t="inlineStr">
        <is>
          <t>Circulación e intercambio capilar</t>
        </is>
      </c>
      <c r="B78" t="inlineStr">
        <is>
          <t>incierto</t>
        </is>
      </c>
      <c r="C78" t="n">
        <v>8</v>
      </c>
      <c r="D78" t="n">
        <v>8</v>
      </c>
      <c r="F78" t="n">
        <v>8</v>
      </c>
      <c r="G78" t="n">
        <v>4</v>
      </c>
      <c r="H78" t="n">
        <v>7</v>
      </c>
      <c r="L78" t="n">
        <v>7.5</v>
      </c>
      <c r="O78" t="n">
        <v>1</v>
      </c>
      <c r="P78" t="n">
        <v>1</v>
      </c>
      <c r="Q78" t="n">
        <v>1</v>
      </c>
      <c r="U78" t="n">
        <v>1</v>
      </c>
      <c r="AF78" t="n">
        <v>11</v>
      </c>
      <c r="AG78" t="inlineStr">
        <is>
          <t>alineado</t>
        </is>
      </c>
      <c r="AH78" t="inlineStr">
        <is>
          <t>posterior</t>
        </is>
      </c>
    </row>
    <row r="79">
      <c r="A79" t="inlineStr">
        <is>
          <t>Clasificación jerárquica y nomenclatura</t>
        </is>
      </c>
      <c r="B79" t="inlineStr">
        <is>
          <t>incierto</t>
        </is>
      </c>
      <c r="C79" t="n">
        <v>7</v>
      </c>
      <c r="D79" t="n">
        <v>7</v>
      </c>
      <c r="F79" t="n">
        <v>5</v>
      </c>
      <c r="G79" t="n">
        <v>8.5</v>
      </c>
      <c r="H79" t="n">
        <v>7</v>
      </c>
      <c r="J79" t="n">
        <v>7</v>
      </c>
      <c r="K79" t="n">
        <v>5</v>
      </c>
      <c r="M79" t="n">
        <v>7</v>
      </c>
      <c r="O79" t="n">
        <v>1</v>
      </c>
      <c r="P79" t="n">
        <v>1</v>
      </c>
      <c r="Q79" t="n">
        <v>1</v>
      </c>
      <c r="S79" t="n">
        <v>1</v>
      </c>
      <c r="T79" t="n">
        <v>1</v>
      </c>
      <c r="V79" t="n">
        <v>1</v>
      </c>
      <c r="AF79" t="n">
        <v>7</v>
      </c>
      <c r="AG79" t="inlineStr">
        <is>
          <t>sin_referente</t>
        </is>
      </c>
      <c r="AH79" t="inlineStr">
        <is>
          <t>alineado</t>
        </is>
      </c>
    </row>
    <row r="80">
      <c r="A80" t="inlineStr">
        <is>
          <t>Contaminación y sus efectos en los seres vivos</t>
        </is>
      </c>
      <c r="B80" t="inlineStr">
        <is>
          <t>incierto</t>
        </is>
      </c>
      <c r="C80" t="n">
        <v>2</v>
      </c>
      <c r="D80" t="n">
        <v>2</v>
      </c>
      <c r="F80" t="n">
        <v>5</v>
      </c>
      <c r="H80" t="n">
        <v>2</v>
      </c>
      <c r="J80" t="n">
        <v>2.5</v>
      </c>
      <c r="K80" t="n">
        <v>4</v>
      </c>
      <c r="L80" t="n">
        <v>6</v>
      </c>
      <c r="M80" t="n">
        <v>2.5</v>
      </c>
      <c r="O80" t="n">
        <v>1</v>
      </c>
      <c r="Q80" t="n">
        <v>1</v>
      </c>
      <c r="S80" t="n">
        <v>1</v>
      </c>
      <c r="T80" t="n">
        <v>1</v>
      </c>
      <c r="U80" t="n">
        <v>1</v>
      </c>
      <c r="V80" t="n">
        <v>1</v>
      </c>
      <c r="Z80" t="n">
        <v>1</v>
      </c>
      <c r="AF80" t="n">
        <v>2</v>
      </c>
      <c r="AG80" t="inlineStr">
        <is>
          <t>adelantado</t>
        </is>
      </c>
      <c r="AH80" t="inlineStr">
        <is>
          <t>alineado</t>
        </is>
      </c>
    </row>
    <row r="81">
      <c r="A81" t="inlineStr">
        <is>
          <t>Diferenciación y especialización celular</t>
        </is>
      </c>
      <c r="B81" t="inlineStr">
        <is>
          <t>incierto</t>
        </is>
      </c>
      <c r="C81" t="n">
        <v>6</v>
      </c>
      <c r="D81" t="n">
        <v>6</v>
      </c>
      <c r="E81" t="n">
        <v>7</v>
      </c>
      <c r="G81" t="n">
        <v>6</v>
      </c>
      <c r="H81" t="n">
        <v>7</v>
      </c>
      <c r="K81" t="n">
        <v>7</v>
      </c>
      <c r="L81" t="n">
        <v>7.5</v>
      </c>
      <c r="N81" t="n">
        <v>1</v>
      </c>
      <c r="P81" t="n">
        <v>1</v>
      </c>
      <c r="Q81" t="n">
        <v>1</v>
      </c>
      <c r="T81" t="n">
        <v>1</v>
      </c>
      <c r="U81" t="n">
        <v>1</v>
      </c>
      <c r="Z81" t="n">
        <v>1</v>
      </c>
      <c r="AF81" t="n">
        <v>6</v>
      </c>
      <c r="AG81" t="inlineStr">
        <is>
          <t>adelantado</t>
        </is>
      </c>
      <c r="AH81" t="inlineStr">
        <is>
          <t>alineado</t>
        </is>
      </c>
    </row>
    <row r="82">
      <c r="A82" t="inlineStr">
        <is>
          <t>Diversidad genética de poblaciones</t>
        </is>
      </c>
      <c r="B82" t="inlineStr">
        <is>
          <t>incierto</t>
        </is>
      </c>
      <c r="C82" t="n">
        <v>7</v>
      </c>
      <c r="D82" t="n">
        <v>7</v>
      </c>
      <c r="G82" t="n">
        <v>6</v>
      </c>
      <c r="J82" t="n">
        <v>7</v>
      </c>
      <c r="K82" t="n">
        <v>5</v>
      </c>
      <c r="P82" t="n">
        <v>1</v>
      </c>
      <c r="S82" t="n">
        <v>1</v>
      </c>
      <c r="T82" t="n">
        <v>1</v>
      </c>
      <c r="AF82" t="n">
        <v>7</v>
      </c>
      <c r="AG82" t="inlineStr">
        <is>
          <t>sin_referente</t>
        </is>
      </c>
      <c r="AH82" t="inlineStr">
        <is>
          <t>alineado</t>
        </is>
      </c>
    </row>
    <row r="83">
      <c r="A83" t="inlineStr">
        <is>
          <t>Energía de los alimentos y balance energético</t>
        </is>
      </c>
      <c r="B83" t="inlineStr">
        <is>
          <t>incierto</t>
        </is>
      </c>
      <c r="C83" t="n">
        <v>4</v>
      </c>
      <c r="D83" t="n">
        <v>4</v>
      </c>
      <c r="F83" t="n">
        <v>8</v>
      </c>
      <c r="G83" t="n">
        <v>2</v>
      </c>
      <c r="H83" t="n">
        <v>2</v>
      </c>
      <c r="K83" t="n">
        <v>4</v>
      </c>
      <c r="L83" t="n">
        <v>6</v>
      </c>
      <c r="O83" t="n">
        <v>1</v>
      </c>
      <c r="P83" t="n">
        <v>1</v>
      </c>
      <c r="Q83" t="n">
        <v>1</v>
      </c>
      <c r="T83" t="n">
        <v>1</v>
      </c>
      <c r="U83" t="n">
        <v>1</v>
      </c>
      <c r="Z83" t="n">
        <v>1</v>
      </c>
      <c r="AF83" t="n">
        <v>4</v>
      </c>
      <c r="AG83" t="inlineStr">
        <is>
          <t>adelantado</t>
        </is>
      </c>
      <c r="AH83" t="inlineStr">
        <is>
          <t>alineado</t>
        </is>
      </c>
    </row>
    <row r="84">
      <c r="A84" t="inlineStr">
        <is>
          <t>Enzimas</t>
        </is>
      </c>
      <c r="B84" t="inlineStr">
        <is>
          <t>incierto</t>
        </is>
      </c>
      <c r="C84" t="n">
        <v>6</v>
      </c>
      <c r="D84" t="n">
        <v>6</v>
      </c>
      <c r="G84" t="n">
        <v>6</v>
      </c>
      <c r="J84" t="n">
        <v>7</v>
      </c>
      <c r="L84" t="n">
        <v>7.5</v>
      </c>
      <c r="M84" t="n">
        <v>7</v>
      </c>
      <c r="P84" t="n">
        <v>1</v>
      </c>
      <c r="S84" t="n">
        <v>1</v>
      </c>
      <c r="U84" t="n">
        <v>1</v>
      </c>
      <c r="V84" t="n">
        <v>1</v>
      </c>
      <c r="Z84" t="n">
        <v>1</v>
      </c>
      <c r="AF84" t="n">
        <v>6</v>
      </c>
      <c r="AG84" t="inlineStr">
        <is>
          <t>adelantado</t>
        </is>
      </c>
      <c r="AH84" t="inlineStr">
        <is>
          <t>alineado</t>
        </is>
      </c>
    </row>
    <row r="85">
      <c r="A85" t="inlineStr">
        <is>
          <t>Propagación de enfermedades y control de brotes</t>
        </is>
      </c>
      <c r="B85" t="inlineStr">
        <is>
          <t>incierto</t>
        </is>
      </c>
      <c r="C85" t="n">
        <v>11</v>
      </c>
      <c r="G85" t="n">
        <v>8.5</v>
      </c>
      <c r="H85" t="n">
        <v>3</v>
      </c>
      <c r="J85" t="n">
        <v>2.5</v>
      </c>
      <c r="L85" t="n">
        <v>7.5</v>
      </c>
      <c r="P85" t="n">
        <v>1</v>
      </c>
      <c r="Q85" t="n">
        <v>1</v>
      </c>
      <c r="S85" t="n">
        <v>1</v>
      </c>
      <c r="U85" t="n">
        <v>1</v>
      </c>
      <c r="Z85" t="n">
        <v>1</v>
      </c>
      <c r="AG85" t="inlineStr">
        <is>
          <t>posterior</t>
        </is>
      </c>
      <c r="AH85" t="inlineStr">
        <is>
          <t>no_aplica</t>
        </is>
      </c>
    </row>
    <row r="86">
      <c r="A86" t="inlineStr">
        <is>
          <t>Especies clave</t>
        </is>
      </c>
      <c r="B86" t="inlineStr">
        <is>
          <t>incierto</t>
        </is>
      </c>
      <c r="C86" t="n">
        <v>7</v>
      </c>
      <c r="D86" t="n">
        <v>7</v>
      </c>
      <c r="K86" t="n">
        <v>3</v>
      </c>
      <c r="T86" t="n">
        <v>1</v>
      </c>
      <c r="AG86" t="inlineStr">
        <is>
          <t>sin_referente</t>
        </is>
      </c>
      <c r="AH86" t="inlineStr">
        <is>
          <t>no_aplica</t>
        </is>
      </c>
    </row>
    <row r="87">
      <c r="A87" t="inlineStr">
        <is>
          <t>Estrategias reproductivas y supervivencia de la descendencia</t>
        </is>
      </c>
      <c r="B87" t="inlineStr">
        <is>
          <t>incierto</t>
        </is>
      </c>
      <c r="C87" t="n">
        <v>3</v>
      </c>
      <c r="D87" t="n">
        <v>3</v>
      </c>
      <c r="E87" t="n">
        <v>8</v>
      </c>
      <c r="F87" t="n">
        <v>8</v>
      </c>
      <c r="H87" t="n">
        <v>3</v>
      </c>
      <c r="L87" t="n">
        <v>6</v>
      </c>
      <c r="M87" t="n">
        <v>4.5</v>
      </c>
      <c r="N87" t="n">
        <v>1</v>
      </c>
      <c r="O87" t="n">
        <v>1</v>
      </c>
      <c r="Q87" t="n">
        <v>1</v>
      </c>
      <c r="U87" t="n">
        <v>1</v>
      </c>
      <c r="V87" t="n">
        <v>1</v>
      </c>
      <c r="AF87" t="n">
        <v>3</v>
      </c>
      <c r="AG87" t="inlineStr">
        <is>
          <t>sin_referente</t>
        </is>
      </c>
      <c r="AH87" t="inlineStr">
        <is>
          <t>adelantado</t>
        </is>
      </c>
    </row>
    <row r="88">
      <c r="A88" t="inlineStr">
        <is>
          <t>Factores limitantes de las poblaciones</t>
        </is>
      </c>
      <c r="B88" t="inlineStr">
        <is>
          <t>incierto</t>
        </is>
      </c>
      <c r="C88" t="n">
        <v>7</v>
      </c>
      <c r="D88" t="n">
        <v>7</v>
      </c>
      <c r="E88" t="n">
        <v>6</v>
      </c>
      <c r="F88" t="n">
        <v>8</v>
      </c>
      <c r="G88" t="n">
        <v>8.5</v>
      </c>
      <c r="K88" t="n">
        <v>3</v>
      </c>
      <c r="L88" t="n">
        <v>6</v>
      </c>
      <c r="M88" t="n">
        <v>7</v>
      </c>
      <c r="N88" t="n">
        <v>1</v>
      </c>
      <c r="O88" t="n">
        <v>1</v>
      </c>
      <c r="P88" t="n">
        <v>1</v>
      </c>
      <c r="T88" t="n">
        <v>1</v>
      </c>
      <c r="U88" t="n">
        <v>1</v>
      </c>
      <c r="V88" t="n">
        <v>1</v>
      </c>
      <c r="AF88" t="n">
        <v>7</v>
      </c>
      <c r="AG88" t="inlineStr">
        <is>
          <t>sin_referente</t>
        </is>
      </c>
      <c r="AH88" t="inlineStr">
        <is>
          <t>alineado</t>
        </is>
      </c>
    </row>
    <row r="89">
      <c r="A89" t="inlineStr">
        <is>
          <t>Fases de la fotosíntesis y ciclo de Calvin</t>
        </is>
      </c>
      <c r="B89" t="inlineStr">
        <is>
          <t>incierto</t>
        </is>
      </c>
      <c r="C89" t="n">
        <v>6</v>
      </c>
      <c r="D89" t="n">
        <v>6</v>
      </c>
      <c r="F89" t="n">
        <v>8</v>
      </c>
      <c r="O89" t="n">
        <v>1</v>
      </c>
      <c r="AF89" t="n">
        <v>10</v>
      </c>
      <c r="AG89" t="inlineStr">
        <is>
          <t>sin_referente</t>
        </is>
      </c>
      <c r="AH89" t="inlineStr">
        <is>
          <t>posterior</t>
        </is>
      </c>
    </row>
    <row r="90">
      <c r="A90" t="inlineStr">
        <is>
          <t>Fotosíntesis</t>
        </is>
      </c>
      <c r="B90" t="inlineStr">
        <is>
          <t>incierto</t>
        </is>
      </c>
      <c r="C90" t="n">
        <v>6</v>
      </c>
      <c r="D90" t="n">
        <v>6</v>
      </c>
      <c r="E90" t="n">
        <v>8</v>
      </c>
      <c r="F90" t="n">
        <v>5</v>
      </c>
      <c r="G90" t="n">
        <v>6</v>
      </c>
      <c r="H90" t="n">
        <v>2</v>
      </c>
      <c r="I90" t="n">
        <v>4</v>
      </c>
      <c r="J90" t="n">
        <v>4.5</v>
      </c>
      <c r="K90" t="n">
        <v>2</v>
      </c>
      <c r="L90" t="n">
        <v>6</v>
      </c>
      <c r="M90" t="n">
        <v>4.5</v>
      </c>
      <c r="N90" t="n">
        <v>1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AF90" t="n">
        <v>6</v>
      </c>
      <c r="AG90" t="inlineStr">
        <is>
          <t>alineado</t>
        </is>
      </c>
      <c r="AH90" t="inlineStr">
        <is>
          <t>tardio</t>
        </is>
      </c>
    </row>
    <row r="91">
      <c r="A91" t="inlineStr">
        <is>
          <t>Genes y alelos</t>
        </is>
      </c>
      <c r="B91" t="inlineStr">
        <is>
          <t>incierto</t>
        </is>
      </c>
      <c r="C91" t="n">
        <v>6</v>
      </c>
      <c r="D91" t="n">
        <v>6</v>
      </c>
      <c r="F91" t="n">
        <v>8</v>
      </c>
      <c r="G91" t="n">
        <v>6</v>
      </c>
      <c r="H91" t="n">
        <v>7</v>
      </c>
      <c r="I91" t="n">
        <v>8</v>
      </c>
      <c r="J91" t="n">
        <v>7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Z91" t="n">
        <v>1</v>
      </c>
      <c r="AF91" t="n">
        <v>7</v>
      </c>
      <c r="AG91" t="inlineStr">
        <is>
          <t>sin_referente</t>
        </is>
      </c>
      <c r="AH91" t="inlineStr">
        <is>
          <t>alineado</t>
        </is>
      </c>
    </row>
    <row r="92">
      <c r="A92" t="inlineStr">
        <is>
          <t>Grupos de alimentos y dieta balanceada</t>
        </is>
      </c>
      <c r="B92" t="inlineStr">
        <is>
          <t>incierto</t>
        </is>
      </c>
      <c r="C92" t="n">
        <v>2</v>
      </c>
      <c r="D92" t="n">
        <v>2</v>
      </c>
      <c r="F92" t="n">
        <v>8</v>
      </c>
      <c r="G92" t="n">
        <v>2</v>
      </c>
      <c r="H92" t="n">
        <v>2</v>
      </c>
      <c r="K92" t="n">
        <v>4</v>
      </c>
      <c r="L92" t="n">
        <v>7.5</v>
      </c>
      <c r="M92" t="n">
        <v>2.5</v>
      </c>
      <c r="O92" t="n">
        <v>1</v>
      </c>
      <c r="P92" t="n">
        <v>1</v>
      </c>
      <c r="Q92" t="n">
        <v>1</v>
      </c>
      <c r="T92" t="n">
        <v>1</v>
      </c>
      <c r="U92" t="n">
        <v>1</v>
      </c>
      <c r="V92" t="n">
        <v>1</v>
      </c>
      <c r="Z92" t="n">
        <v>1</v>
      </c>
      <c r="AF92" t="n">
        <v>2</v>
      </c>
      <c r="AG92" t="inlineStr">
        <is>
          <t>adelantado</t>
        </is>
      </c>
      <c r="AH92" t="inlineStr">
        <is>
          <t>alineado</t>
        </is>
      </c>
    </row>
    <row r="93">
      <c r="A93" t="inlineStr">
        <is>
          <t>Herencia ligada al sexo, alelos múltiples y poligénica</t>
        </is>
      </c>
      <c r="B93" t="inlineStr">
        <is>
          <t>incierto</t>
        </is>
      </c>
      <c r="C93" t="n">
        <v>7</v>
      </c>
      <c r="D93" t="n">
        <v>7</v>
      </c>
      <c r="G93" t="n">
        <v>8.5</v>
      </c>
      <c r="H93" t="n">
        <v>7</v>
      </c>
      <c r="J93" t="n">
        <v>7</v>
      </c>
      <c r="M93" t="n">
        <v>7</v>
      </c>
      <c r="P93" t="n">
        <v>1</v>
      </c>
      <c r="Q93" t="n">
        <v>1</v>
      </c>
      <c r="S93" t="n">
        <v>1</v>
      </c>
      <c r="V93" t="n">
        <v>1</v>
      </c>
      <c r="Z93" t="n">
        <v>1</v>
      </c>
      <c r="AF93" t="n">
        <v>10</v>
      </c>
      <c r="AG93" t="inlineStr">
        <is>
          <t>alineado</t>
        </is>
      </c>
      <c r="AH93" t="inlineStr">
        <is>
          <t>posterior</t>
        </is>
      </c>
    </row>
    <row r="94">
      <c r="A94" t="inlineStr">
        <is>
          <t>Impacto humano en los ecosistemas</t>
        </is>
      </c>
      <c r="B94" t="inlineStr">
        <is>
          <t>incierto</t>
        </is>
      </c>
      <c r="C94" t="n">
        <v>2</v>
      </c>
      <c r="D94" t="n">
        <v>2</v>
      </c>
      <c r="F94" t="n">
        <v>2.5</v>
      </c>
      <c r="G94" t="n">
        <v>6</v>
      </c>
      <c r="H94" t="n">
        <v>2</v>
      </c>
      <c r="I94" t="n">
        <v>5</v>
      </c>
      <c r="J94" t="n">
        <v>2.5</v>
      </c>
      <c r="K94" t="n">
        <v>2</v>
      </c>
      <c r="L94" t="n">
        <v>4.5</v>
      </c>
      <c r="M94" t="n">
        <v>2.5</v>
      </c>
      <c r="O94" t="n">
        <v>1</v>
      </c>
      <c r="P94" t="n">
        <v>1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t="n">
        <v>1</v>
      </c>
      <c r="AF94" t="n">
        <v>2</v>
      </c>
      <c r="AG94" t="inlineStr">
        <is>
          <t>adelantado</t>
        </is>
      </c>
      <c r="AH94" t="inlineStr">
        <is>
          <t>alineado</t>
        </is>
      </c>
    </row>
    <row r="95">
      <c r="A95" t="inlineStr">
        <is>
          <t>Intercambio de gases en plantas</t>
        </is>
      </c>
      <c r="B95" t="inlineStr">
        <is>
          <t>incierto</t>
        </is>
      </c>
      <c r="C95" t="n">
        <v>8</v>
      </c>
      <c r="D95" t="n">
        <v>8</v>
      </c>
      <c r="G95" t="n">
        <v>6</v>
      </c>
      <c r="I95" t="n">
        <v>7</v>
      </c>
      <c r="J95" t="n">
        <v>4.5</v>
      </c>
      <c r="L95" t="n">
        <v>5</v>
      </c>
      <c r="P95" t="n">
        <v>1</v>
      </c>
      <c r="R95" t="n">
        <v>1</v>
      </c>
      <c r="S95" t="n">
        <v>1</v>
      </c>
      <c r="U95" t="n">
        <v>1</v>
      </c>
      <c r="AF95" t="n">
        <v>8</v>
      </c>
      <c r="AG95" t="inlineStr">
        <is>
          <t>sin_referente</t>
        </is>
      </c>
      <c r="AH95" t="inlineStr">
        <is>
          <t>alineado</t>
        </is>
      </c>
    </row>
    <row r="96">
      <c r="A96" t="inlineStr">
        <is>
          <t>La célula como unidad de la vida</t>
        </is>
      </c>
      <c r="B96" t="inlineStr">
        <is>
          <t>incierto</t>
        </is>
      </c>
      <c r="C96" t="n">
        <v>3</v>
      </c>
      <c r="D96" t="n">
        <v>3</v>
      </c>
      <c r="E96" t="n">
        <v>7</v>
      </c>
      <c r="F96" t="n">
        <v>8</v>
      </c>
      <c r="G96" t="n">
        <v>6</v>
      </c>
      <c r="H96" t="n">
        <v>5</v>
      </c>
      <c r="I96" t="n">
        <v>7</v>
      </c>
      <c r="J96" t="n">
        <v>4.5</v>
      </c>
      <c r="K96" t="n">
        <v>7</v>
      </c>
      <c r="L96" t="n">
        <v>5</v>
      </c>
      <c r="M96" t="n">
        <v>4.5</v>
      </c>
      <c r="N96" t="n">
        <v>1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t="n">
        <v>1</v>
      </c>
      <c r="AF96" t="n">
        <v>6</v>
      </c>
      <c r="AG96" t="inlineStr">
        <is>
          <t>adelantado</t>
        </is>
      </c>
      <c r="AH96" t="inlineStr">
        <is>
          <t>alineado</t>
        </is>
      </c>
    </row>
    <row r="97">
      <c r="A97" t="inlineStr">
        <is>
          <t>Meiosis</t>
        </is>
      </c>
      <c r="B97" t="inlineStr">
        <is>
          <t>incierto</t>
        </is>
      </c>
      <c r="C97" t="n">
        <v>6</v>
      </c>
      <c r="D97" t="n">
        <v>6</v>
      </c>
      <c r="F97" t="n">
        <v>8</v>
      </c>
      <c r="G97" t="n">
        <v>8.5</v>
      </c>
      <c r="J97" t="n">
        <v>7</v>
      </c>
      <c r="O97" t="n">
        <v>1</v>
      </c>
      <c r="P97" t="n">
        <v>1</v>
      </c>
      <c r="S97" t="n">
        <v>1</v>
      </c>
      <c r="Z97" t="n">
        <v>1</v>
      </c>
      <c r="AF97" t="n">
        <v>6</v>
      </c>
      <c r="AG97" t="inlineStr">
        <is>
          <t>sin_referente</t>
        </is>
      </c>
      <c r="AH97" t="inlineStr">
        <is>
          <t>adelantado</t>
        </is>
      </c>
    </row>
    <row r="98">
      <c r="A98" t="inlineStr">
        <is>
          <t>Mitosis y ciclo celular</t>
        </is>
      </c>
      <c r="B98" t="inlineStr">
        <is>
          <t>incierto</t>
        </is>
      </c>
      <c r="C98" t="n">
        <v>6</v>
      </c>
      <c r="D98" t="n">
        <v>6</v>
      </c>
      <c r="G98" t="n">
        <v>8.5</v>
      </c>
      <c r="H98" t="n">
        <v>7</v>
      </c>
      <c r="I98" t="n">
        <v>8</v>
      </c>
      <c r="J98" t="n">
        <v>7</v>
      </c>
      <c r="K98" t="n">
        <v>7</v>
      </c>
      <c r="L98" t="n">
        <v>7.5</v>
      </c>
      <c r="M98" t="n">
        <v>7</v>
      </c>
      <c r="P98" t="n">
        <v>1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t="n">
        <v>1</v>
      </c>
      <c r="AF98" t="n">
        <v>6</v>
      </c>
      <c r="AG98" t="inlineStr">
        <is>
          <t>adelantado</t>
        </is>
      </c>
      <c r="AH98" t="inlineStr">
        <is>
          <t>alineado</t>
        </is>
      </c>
    </row>
    <row r="99">
      <c r="A99" t="inlineStr">
        <is>
          <t>Niveles de organización de los seres vivos</t>
        </is>
      </c>
      <c r="B99" t="inlineStr">
        <is>
          <t>incierto</t>
        </is>
      </c>
      <c r="C99" t="n">
        <v>4</v>
      </c>
      <c r="D99" t="n">
        <v>4</v>
      </c>
      <c r="E99" t="n">
        <v>7</v>
      </c>
      <c r="F99" t="n">
        <v>5</v>
      </c>
      <c r="G99" t="n">
        <v>6</v>
      </c>
      <c r="H99" t="n">
        <v>7</v>
      </c>
      <c r="I99" t="n">
        <v>5</v>
      </c>
      <c r="J99" t="n">
        <v>4.5</v>
      </c>
      <c r="K99" t="n">
        <v>7</v>
      </c>
      <c r="L99" t="n">
        <v>4.5</v>
      </c>
      <c r="M99" t="n">
        <v>4.5</v>
      </c>
      <c r="N99" t="n">
        <v>1</v>
      </c>
      <c r="O99" t="n">
        <v>1</v>
      </c>
      <c r="P99" t="n">
        <v>1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t="n">
        <v>1</v>
      </c>
      <c r="Z99" t="n">
        <v>1</v>
      </c>
      <c r="AF99" t="n">
        <v>4</v>
      </c>
      <c r="AG99" t="inlineStr">
        <is>
          <t>adelantado</t>
        </is>
      </c>
      <c r="AH99" t="inlineStr">
        <is>
          <t>alineado</t>
        </is>
      </c>
    </row>
    <row r="100">
      <c r="A100" t="inlineStr">
        <is>
          <t>Niveles de organización ecológica</t>
        </is>
      </c>
      <c r="B100" t="inlineStr">
        <is>
          <t>incierto</t>
        </is>
      </c>
      <c r="C100" t="n">
        <v>4</v>
      </c>
      <c r="D100" t="n">
        <v>4</v>
      </c>
      <c r="F100" t="n">
        <v>2.5</v>
      </c>
      <c r="G100" t="n">
        <v>8.5</v>
      </c>
      <c r="H100" t="n">
        <v>3</v>
      </c>
      <c r="J100" t="n">
        <v>2.5</v>
      </c>
      <c r="K100" t="n">
        <v>3</v>
      </c>
      <c r="L100" t="n">
        <v>6</v>
      </c>
      <c r="M100" t="n">
        <v>4.5</v>
      </c>
      <c r="O100" t="n">
        <v>1</v>
      </c>
      <c r="P100" t="n">
        <v>1</v>
      </c>
      <c r="Q100" t="n">
        <v>1</v>
      </c>
      <c r="S100" t="n">
        <v>1</v>
      </c>
      <c r="T100" t="n">
        <v>1</v>
      </c>
      <c r="U100" t="n">
        <v>1</v>
      </c>
      <c r="V100" t="n">
        <v>1</v>
      </c>
      <c r="AF100" t="n">
        <v>4</v>
      </c>
      <c r="AG100" t="inlineStr">
        <is>
          <t>adelantado</t>
        </is>
      </c>
      <c r="AH100" t="inlineStr">
        <is>
          <t>alineado</t>
        </is>
      </c>
    </row>
    <row r="101">
      <c r="A101" t="inlineStr">
        <is>
          <t>Nutrición autótrofa y heterótrofa</t>
        </is>
      </c>
      <c r="B101" t="inlineStr">
        <is>
          <t>incierto</t>
        </is>
      </c>
      <c r="C101" t="n">
        <v>2</v>
      </c>
      <c r="D101" t="n">
        <v>2</v>
      </c>
      <c r="F101" t="n">
        <v>2.5</v>
      </c>
      <c r="G101" t="n">
        <v>2</v>
      </c>
      <c r="H101" t="n">
        <v>2</v>
      </c>
      <c r="I101" t="n">
        <v>5</v>
      </c>
      <c r="J101" t="n">
        <v>2.5</v>
      </c>
      <c r="K101" t="n">
        <v>2</v>
      </c>
      <c r="L101" t="n">
        <v>5</v>
      </c>
      <c r="M101" t="n">
        <v>7</v>
      </c>
      <c r="O101" t="n">
        <v>1</v>
      </c>
      <c r="P101" t="n">
        <v>1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t="n">
        <v>1</v>
      </c>
      <c r="AF101" t="n">
        <v>3</v>
      </c>
      <c r="AG101" t="inlineStr">
        <is>
          <t>adelantado</t>
        </is>
      </c>
      <c r="AH101" t="inlineStr">
        <is>
          <t>alineado</t>
        </is>
      </c>
    </row>
    <row r="102">
      <c r="A102" t="inlineStr">
        <is>
          <t>Organelos de la célula eucariota</t>
        </is>
      </c>
      <c r="B102" t="inlineStr">
        <is>
          <t>incierto</t>
        </is>
      </c>
      <c r="C102" t="n">
        <v>6</v>
      </c>
      <c r="D102" t="n">
        <v>6</v>
      </c>
      <c r="E102" t="n">
        <v>7</v>
      </c>
      <c r="G102" t="n">
        <v>6</v>
      </c>
      <c r="K102" t="n">
        <v>7</v>
      </c>
      <c r="L102" t="n">
        <v>7.5</v>
      </c>
      <c r="N102" t="n">
        <v>1</v>
      </c>
      <c r="P102" t="n">
        <v>1</v>
      </c>
      <c r="T102" t="n">
        <v>1</v>
      </c>
      <c r="U102" t="n">
        <v>1</v>
      </c>
      <c r="AF102" t="n">
        <v>6</v>
      </c>
      <c r="AG102" t="inlineStr">
        <is>
          <t>sin_referente</t>
        </is>
      </c>
      <c r="AH102" t="inlineStr">
        <is>
          <t>alineado</t>
        </is>
      </c>
    </row>
    <row r="103">
      <c r="A103" t="inlineStr">
        <is>
          <t>Plantas y animales útiles al ser humano</t>
        </is>
      </c>
      <c r="B103" t="inlineStr">
        <is>
          <t>incierto</t>
        </is>
      </c>
      <c r="C103" t="n">
        <v>2</v>
      </c>
      <c r="D103" t="n">
        <v>2</v>
      </c>
      <c r="F103" t="n">
        <v>2.5</v>
      </c>
      <c r="G103" t="n">
        <v>8.5</v>
      </c>
      <c r="H103" t="n">
        <v>2</v>
      </c>
      <c r="J103" t="n">
        <v>2.5</v>
      </c>
      <c r="K103" t="n">
        <v>2</v>
      </c>
      <c r="M103" t="n">
        <v>2.5</v>
      </c>
      <c r="O103" t="n">
        <v>1</v>
      </c>
      <c r="P103" t="n">
        <v>1</v>
      </c>
      <c r="Q103" t="n">
        <v>1</v>
      </c>
      <c r="S103" t="n">
        <v>1</v>
      </c>
      <c r="T103" t="n">
        <v>1</v>
      </c>
      <c r="V103" t="n">
        <v>1</v>
      </c>
      <c r="AF103" t="n">
        <v>2</v>
      </c>
      <c r="AG103" t="inlineStr">
        <is>
          <t>adelantado</t>
        </is>
      </c>
      <c r="AH103" t="inlineStr">
        <is>
          <t>alineado</t>
        </is>
      </c>
    </row>
    <row r="104">
      <c r="A104" t="inlineStr">
        <is>
          <t>Proteínas: estructura y función</t>
        </is>
      </c>
      <c r="B104" t="inlineStr">
        <is>
          <t>incierto</t>
        </is>
      </c>
      <c r="C104" t="n">
        <v>6</v>
      </c>
      <c r="D104" t="n">
        <v>6</v>
      </c>
      <c r="G104" t="n">
        <v>8.5</v>
      </c>
      <c r="P104" t="n">
        <v>1</v>
      </c>
      <c r="AF104" t="n">
        <v>9</v>
      </c>
      <c r="AG104" t="inlineStr">
        <is>
          <t>sin_referente</t>
        </is>
      </c>
      <c r="AH104" t="inlineStr">
        <is>
          <t>posterior</t>
        </is>
      </c>
    </row>
    <row r="105">
      <c r="A105" t="inlineStr">
        <is>
          <t>Relación superficie-volumen</t>
        </is>
      </c>
      <c r="B105" t="inlineStr">
        <is>
          <t>incierto</t>
        </is>
      </c>
      <c r="C105" t="n">
        <v>10</v>
      </c>
      <c r="F105" t="n">
        <v>8</v>
      </c>
      <c r="G105" t="n">
        <v>8.5</v>
      </c>
      <c r="J105" t="n">
        <v>7</v>
      </c>
      <c r="K105" t="n">
        <v>7</v>
      </c>
      <c r="L105" t="n">
        <v>7.5</v>
      </c>
      <c r="O105" t="n">
        <v>1</v>
      </c>
      <c r="P105" t="n">
        <v>1</v>
      </c>
      <c r="S105" t="n">
        <v>1</v>
      </c>
      <c r="T105" t="n">
        <v>1</v>
      </c>
      <c r="U105" t="n">
        <v>1</v>
      </c>
      <c r="AF105" t="n">
        <v>10</v>
      </c>
      <c r="AG105" t="inlineStr">
        <is>
          <t>posterior</t>
        </is>
      </c>
      <c r="AH105" t="inlineStr">
        <is>
          <t>tardio</t>
        </is>
      </c>
    </row>
    <row r="106">
      <c r="A106" t="inlineStr">
        <is>
          <t>Relaciones intraespecíficas</t>
        </is>
      </c>
      <c r="B106" t="inlineStr">
        <is>
          <t>incierto</t>
        </is>
      </c>
      <c r="C106" t="n">
        <v>7</v>
      </c>
      <c r="D106" t="n">
        <v>7</v>
      </c>
      <c r="M106" t="n">
        <v>4.5</v>
      </c>
      <c r="V106" t="n">
        <v>1</v>
      </c>
      <c r="AF106" t="n">
        <v>11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Reproducción humana y pubertad</t>
        </is>
      </c>
      <c r="B107" t="inlineStr">
        <is>
          <t>incierto</t>
        </is>
      </c>
      <c r="C107" t="n">
        <v>4</v>
      </c>
      <c r="D107" t="n">
        <v>4</v>
      </c>
      <c r="E107" t="n">
        <v>8</v>
      </c>
      <c r="F107" t="n">
        <v>8</v>
      </c>
      <c r="G107" t="n">
        <v>3</v>
      </c>
      <c r="H107" t="n">
        <v>4</v>
      </c>
      <c r="I107" t="n">
        <v>4</v>
      </c>
      <c r="L107" t="n">
        <v>5</v>
      </c>
      <c r="M107" t="n">
        <v>7</v>
      </c>
      <c r="N107" t="n">
        <v>1</v>
      </c>
      <c r="O107" t="n">
        <v>1</v>
      </c>
      <c r="P107" t="n">
        <v>1</v>
      </c>
      <c r="Q107" t="n">
        <v>1</v>
      </c>
      <c r="R107" t="n">
        <v>1</v>
      </c>
      <c r="U107" t="n">
        <v>1</v>
      </c>
      <c r="V107" t="n">
        <v>1</v>
      </c>
      <c r="Z107" t="n">
        <v>1</v>
      </c>
      <c r="AF107" t="n">
        <v>4</v>
      </c>
      <c r="AG107" t="inlineStr">
        <is>
          <t>adelantado</t>
        </is>
      </c>
      <c r="AH107" t="inlineStr">
        <is>
          <t>alineado</t>
        </is>
      </c>
    </row>
    <row r="108">
      <c r="A108" t="inlineStr">
        <is>
          <t>Requerimientos de materia y energía de la célula</t>
        </is>
      </c>
      <c r="B108" t="inlineStr">
        <is>
          <t>incierto</t>
        </is>
      </c>
      <c r="C108" t="n">
        <v>6</v>
      </c>
      <c r="D108" t="n">
        <v>6</v>
      </c>
      <c r="G108" t="n">
        <v>6</v>
      </c>
      <c r="H108" t="n">
        <v>7</v>
      </c>
      <c r="J108" t="n">
        <v>4.5</v>
      </c>
      <c r="K108" t="n">
        <v>7</v>
      </c>
      <c r="L108" t="n">
        <v>5</v>
      </c>
      <c r="M108" t="n">
        <v>7</v>
      </c>
      <c r="P108" t="n">
        <v>1</v>
      </c>
      <c r="Q108" t="n">
        <v>1</v>
      </c>
      <c r="S108" t="n">
        <v>1</v>
      </c>
      <c r="T108" t="n">
        <v>1</v>
      </c>
      <c r="U108" t="n">
        <v>1</v>
      </c>
      <c r="V108" t="n">
        <v>1</v>
      </c>
      <c r="Z108" t="n">
        <v>1</v>
      </c>
      <c r="AF108" t="n">
        <v>6</v>
      </c>
      <c r="AG108" t="inlineStr">
        <is>
          <t>sin_referente</t>
        </is>
      </c>
      <c r="AH108" t="inlineStr">
        <is>
          <t>alineado</t>
        </is>
      </c>
    </row>
    <row r="109">
      <c r="A109" t="inlineStr">
        <is>
          <t>Respuesta de los seres vivos a estímulos</t>
        </is>
      </c>
      <c r="B109" t="inlineStr">
        <is>
          <t>incierto</t>
        </is>
      </c>
      <c r="C109" t="n">
        <v>2</v>
      </c>
      <c r="D109" t="n">
        <v>2</v>
      </c>
      <c r="E109" t="n">
        <v>8</v>
      </c>
      <c r="F109" t="n">
        <v>8</v>
      </c>
      <c r="G109" t="n">
        <v>8.5</v>
      </c>
      <c r="H109" t="n">
        <v>2</v>
      </c>
      <c r="I109" t="n">
        <v>3</v>
      </c>
      <c r="J109" t="n">
        <v>7</v>
      </c>
      <c r="K109" t="n">
        <v>2</v>
      </c>
      <c r="L109" t="n">
        <v>3</v>
      </c>
      <c r="M109" t="n">
        <v>2.5</v>
      </c>
      <c r="N109" t="n">
        <v>1</v>
      </c>
      <c r="O109" t="n">
        <v>1</v>
      </c>
      <c r="P109" t="n">
        <v>1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t="n">
        <v>1</v>
      </c>
      <c r="AF109" t="n">
        <v>2</v>
      </c>
      <c r="AG109" t="inlineStr">
        <is>
          <t>adelantado</t>
        </is>
      </c>
      <c r="AH109" t="inlineStr">
        <is>
          <t>alineado</t>
        </is>
      </c>
    </row>
    <row r="110">
      <c r="A110" t="inlineStr">
        <is>
          <t>Sistema respiratorio</t>
        </is>
      </c>
      <c r="B110" t="inlineStr">
        <is>
          <t>incierto</t>
        </is>
      </c>
      <c r="C110" t="n">
        <v>3</v>
      </c>
      <c r="D110" t="n">
        <v>3</v>
      </c>
      <c r="F110" t="n">
        <v>8</v>
      </c>
      <c r="G110" t="n">
        <v>6</v>
      </c>
      <c r="H110" t="n">
        <v>2</v>
      </c>
      <c r="I110" t="n">
        <v>5</v>
      </c>
      <c r="J110" t="n">
        <v>4.5</v>
      </c>
      <c r="K110" t="n">
        <v>4</v>
      </c>
      <c r="L110" t="n">
        <v>4</v>
      </c>
      <c r="M110" t="n">
        <v>7</v>
      </c>
      <c r="O110" t="n">
        <v>1</v>
      </c>
      <c r="P110" t="n">
        <v>1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t="n">
        <v>1</v>
      </c>
      <c r="Z110" t="n">
        <v>1</v>
      </c>
      <c r="AF110" t="n">
        <v>4</v>
      </c>
      <c r="AG110" t="inlineStr">
        <is>
          <t>adelantado</t>
        </is>
      </c>
      <c r="AH110" t="inlineStr">
        <is>
          <t>alineado</t>
        </is>
      </c>
    </row>
    <row r="111">
      <c r="A111" t="inlineStr">
        <is>
          <t>Tejidos animales</t>
        </is>
      </c>
      <c r="B111" t="inlineStr">
        <is>
          <t>incierto</t>
        </is>
      </c>
      <c r="C111" t="n">
        <v>4</v>
      </c>
      <c r="D111" t="n">
        <v>4</v>
      </c>
      <c r="E111" t="n">
        <v>7</v>
      </c>
      <c r="F111" t="n">
        <v>8</v>
      </c>
      <c r="G111" t="n">
        <v>8.5</v>
      </c>
      <c r="H111" t="n">
        <v>7</v>
      </c>
      <c r="N111" t="n">
        <v>1</v>
      </c>
      <c r="O111" t="n">
        <v>1</v>
      </c>
      <c r="P111" t="n">
        <v>1</v>
      </c>
      <c r="Q111" t="n">
        <v>1</v>
      </c>
      <c r="Z111" t="n">
        <v>1</v>
      </c>
      <c r="AF111" t="n">
        <v>4</v>
      </c>
      <c r="AG111" t="inlineStr">
        <is>
          <t>sin_referente</t>
        </is>
      </c>
      <c r="AH111" t="inlineStr">
        <is>
          <t>adelantado</t>
        </is>
      </c>
    </row>
    <row r="112">
      <c r="A112" t="inlineStr">
        <is>
          <t>Transmisión de patógenos</t>
        </is>
      </c>
      <c r="B112" t="inlineStr">
        <is>
          <t>incierto</t>
        </is>
      </c>
      <c r="C112" t="n">
        <v>3</v>
      </c>
      <c r="D112" t="n">
        <v>3</v>
      </c>
      <c r="F112" t="n">
        <v>8</v>
      </c>
      <c r="G112" t="n">
        <v>8.5</v>
      </c>
      <c r="H112" t="n">
        <v>3</v>
      </c>
      <c r="J112" t="n">
        <v>2.5</v>
      </c>
      <c r="L112" t="n">
        <v>7.5</v>
      </c>
      <c r="O112" t="n">
        <v>1</v>
      </c>
      <c r="P112" t="n">
        <v>1</v>
      </c>
      <c r="Q112" t="n">
        <v>1</v>
      </c>
      <c r="S112" t="n">
        <v>1</v>
      </c>
      <c r="U112" t="n">
        <v>1</v>
      </c>
      <c r="AF112" t="n">
        <v>9</v>
      </c>
      <c r="AG112" t="inlineStr">
        <is>
          <t>adelantado</t>
        </is>
      </c>
      <c r="AH112" t="inlineStr">
        <is>
          <t>alineado</t>
        </is>
      </c>
    </row>
    <row r="113">
      <c r="A113" t="inlineStr">
        <is>
          <t>Adaptaciones fisiológicas</t>
        </is>
      </c>
      <c r="B113" t="inlineStr">
        <is>
          <t>posterior</t>
        </is>
      </c>
      <c r="C113" t="n">
        <v>10</v>
      </c>
      <c r="F113" t="n">
        <v>8</v>
      </c>
      <c r="H113" t="n">
        <v>3</v>
      </c>
      <c r="K113" t="n">
        <v>5</v>
      </c>
      <c r="O113" t="n">
        <v>1</v>
      </c>
      <c r="Q113" t="n">
        <v>1</v>
      </c>
      <c r="T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Capacidad de carga</t>
        </is>
      </c>
      <c r="B114" t="inlineStr">
        <is>
          <t>posterior</t>
        </is>
      </c>
      <c r="C114" t="n">
        <v>11</v>
      </c>
      <c r="K114" t="n">
        <v>3</v>
      </c>
      <c r="T114" t="n">
        <v>1</v>
      </c>
      <c r="AF114" t="n">
        <v>11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Ciclo del nitrógeno</t>
        </is>
      </c>
      <c r="B115" t="inlineStr">
        <is>
          <t>posterior</t>
        </is>
      </c>
      <c r="C115" t="n">
        <v>9</v>
      </c>
      <c r="F115" t="n">
        <v>8</v>
      </c>
      <c r="G115" t="n">
        <v>8.5</v>
      </c>
      <c r="K115" t="n">
        <v>6</v>
      </c>
      <c r="O115" t="n">
        <v>1</v>
      </c>
      <c r="P115" t="n">
        <v>1</v>
      </c>
      <c r="T115" t="n">
        <v>1</v>
      </c>
      <c r="AF115" t="n">
        <v>9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Especiación y macroevolución</t>
        </is>
      </c>
      <c r="B116" t="inlineStr">
        <is>
          <t>posterior</t>
        </is>
      </c>
      <c r="C116" t="n">
        <v>10</v>
      </c>
      <c r="F116" t="n">
        <v>8</v>
      </c>
      <c r="G116" t="n">
        <v>8.5</v>
      </c>
      <c r="O116" t="n">
        <v>1</v>
      </c>
      <c r="P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Eutrofización</t>
        </is>
      </c>
      <c r="B117" t="inlineStr">
        <is>
          <t>posterior</t>
        </is>
      </c>
      <c r="C117" t="n">
        <v>7</v>
      </c>
      <c r="D117" t="n">
        <v>7</v>
      </c>
      <c r="AF117" t="n">
        <v>10</v>
      </c>
      <c r="AG117" t="inlineStr">
        <is>
          <t>sin_referente</t>
        </is>
      </c>
      <c r="AH117" t="inlineStr">
        <is>
          <t>posterior</t>
        </is>
      </c>
    </row>
    <row r="118">
      <c r="A118" t="inlineStr">
        <is>
          <t>Evidencias de la evolución</t>
        </is>
      </c>
      <c r="B118" t="inlineStr">
        <is>
          <t>posterior</t>
        </is>
      </c>
      <c r="C118" t="n">
        <v>9</v>
      </c>
      <c r="F118" t="n">
        <v>8</v>
      </c>
      <c r="G118" t="n">
        <v>4</v>
      </c>
      <c r="I118" t="n">
        <v>8</v>
      </c>
      <c r="M118" t="n">
        <v>7</v>
      </c>
      <c r="O118" t="n">
        <v>1</v>
      </c>
      <c r="P118" t="n">
        <v>1</v>
      </c>
      <c r="R118" t="n">
        <v>1</v>
      </c>
      <c r="V118" t="n">
        <v>1</v>
      </c>
      <c r="AF118" t="n">
        <v>9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Secuenciación del ADN y perfiles genéticos</t>
        </is>
      </c>
      <c r="B119" t="inlineStr">
        <is>
          <t>posterior</t>
        </is>
      </c>
      <c r="C119" t="n">
        <v>9</v>
      </c>
      <c r="G119" t="n">
        <v>8.5</v>
      </c>
      <c r="H119" t="n">
        <v>7</v>
      </c>
      <c r="P119" t="n">
        <v>1</v>
      </c>
      <c r="Q119" t="n">
        <v>1</v>
      </c>
      <c r="AF119" t="n">
        <v>10</v>
      </c>
      <c r="AG119" t="inlineStr">
        <is>
          <t>posterior</t>
        </is>
      </c>
      <c r="AH119" t="inlineStr">
        <is>
          <t>posterior</t>
        </is>
      </c>
    </row>
    <row r="120">
      <c r="A120" t="inlineStr">
        <is>
          <t>Impulso nervioso y sinapsis</t>
        </is>
      </c>
      <c r="B120" t="inlineStr">
        <is>
          <t>posterior</t>
        </is>
      </c>
      <c r="C120" t="n">
        <v>10</v>
      </c>
      <c r="F120" t="n">
        <v>8</v>
      </c>
      <c r="J120" t="n">
        <v>7</v>
      </c>
      <c r="O120" t="n">
        <v>1</v>
      </c>
      <c r="S120" t="n">
        <v>1</v>
      </c>
      <c r="AF120" t="n">
        <v>10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Ingeniería genética y ADN recombinante</t>
        </is>
      </c>
      <c r="B121" t="inlineStr">
        <is>
          <t>posterior</t>
        </is>
      </c>
      <c r="C121" t="n">
        <v>9</v>
      </c>
      <c r="F121" t="n">
        <v>8</v>
      </c>
      <c r="G121" t="n">
        <v>8.5</v>
      </c>
      <c r="H121" t="n">
        <v>7</v>
      </c>
      <c r="M121" t="n">
        <v>7</v>
      </c>
      <c r="O121" t="n">
        <v>1</v>
      </c>
      <c r="P121" t="n">
        <v>1</v>
      </c>
      <c r="Q121" t="n">
        <v>1</v>
      </c>
      <c r="V121" t="n">
        <v>1</v>
      </c>
      <c r="Z121" t="n">
        <v>1</v>
      </c>
      <c r="AF121" t="n">
        <v>9</v>
      </c>
      <c r="AG121" t="inlineStr">
        <is>
          <t>posterior</t>
        </is>
      </c>
      <c r="AH121" t="inlineStr">
        <is>
          <t>posterior</t>
        </is>
      </c>
    </row>
    <row r="122">
      <c r="A122" t="inlineStr">
        <is>
          <t>Inmunidad adaptativa</t>
        </is>
      </c>
      <c r="B122" t="inlineStr">
        <is>
          <t>posterior</t>
        </is>
      </c>
      <c r="C122" t="n">
        <v>9</v>
      </c>
      <c r="G122" t="n">
        <v>8.5</v>
      </c>
      <c r="M122" t="n">
        <v>7</v>
      </c>
      <c r="P122" t="n">
        <v>1</v>
      </c>
      <c r="V122" t="n">
        <v>1</v>
      </c>
      <c r="Z122" t="n">
        <v>1</v>
      </c>
      <c r="AF122" t="n">
        <v>10</v>
      </c>
      <c r="AG122" t="inlineStr">
        <is>
          <t>posterior</t>
        </is>
      </c>
      <c r="AH122" t="inlineStr">
        <is>
          <t>posterior</t>
        </is>
      </c>
    </row>
    <row r="123">
      <c r="A123" t="inlineStr">
        <is>
          <t>Inmunidad innata</t>
        </is>
      </c>
      <c r="B123" t="inlineStr">
        <is>
          <t>posterior</t>
        </is>
      </c>
      <c r="C123" t="n">
        <v>9</v>
      </c>
      <c r="G123" t="n">
        <v>8.5</v>
      </c>
      <c r="M123" t="n">
        <v>7</v>
      </c>
      <c r="P123" t="n">
        <v>1</v>
      </c>
      <c r="V123" t="n">
        <v>1</v>
      </c>
      <c r="AF123" t="n">
        <v>10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Nutrición mineral de las plantas</t>
        </is>
      </c>
      <c r="B124" t="inlineStr">
        <is>
          <t>posterior</t>
        </is>
      </c>
      <c r="C124" t="n">
        <v>11</v>
      </c>
      <c r="F124" t="n">
        <v>5</v>
      </c>
      <c r="G124" t="n">
        <v>2</v>
      </c>
      <c r="I124" t="n">
        <v>4</v>
      </c>
      <c r="O124" t="n">
        <v>1</v>
      </c>
      <c r="P124" t="n">
        <v>1</v>
      </c>
      <c r="R124" t="n">
        <v>1</v>
      </c>
      <c r="AF124" t="n">
        <v>11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Presión y flujo de fluidos en los seres vivos</t>
        </is>
      </c>
      <c r="B125" t="inlineStr">
        <is>
          <t>posterior</t>
        </is>
      </c>
      <c r="C125" t="n">
        <v>11</v>
      </c>
      <c r="H125" t="n">
        <v>7</v>
      </c>
      <c r="M125" t="n">
        <v>7</v>
      </c>
      <c r="Q125" t="n">
        <v>1</v>
      </c>
      <c r="V125" t="n">
        <v>1</v>
      </c>
      <c r="AF125" t="n">
        <v>11</v>
      </c>
      <c r="AG125" t="inlineStr">
        <is>
          <t>posterior</t>
        </is>
      </c>
      <c r="AH125" t="inlineStr">
        <is>
          <t>posterior</t>
        </is>
      </c>
    </row>
    <row r="126">
      <c r="A126" t="inlineStr">
        <is>
          <t>Regulación de la expresión génica</t>
        </is>
      </c>
      <c r="B126" t="inlineStr">
        <is>
          <t>posterior</t>
        </is>
      </c>
      <c r="C126" t="n">
        <v>9</v>
      </c>
      <c r="F126" t="n">
        <v>8</v>
      </c>
      <c r="G126" t="n">
        <v>8.5</v>
      </c>
      <c r="O126" t="n">
        <v>1</v>
      </c>
      <c r="P126" t="n">
        <v>1</v>
      </c>
      <c r="AF126" t="n">
        <v>9</v>
      </c>
      <c r="AG126" t="inlineStr">
        <is>
          <t>posterior</t>
        </is>
      </c>
      <c r="AH126" t="inlineStr">
        <is>
          <t>posterior</t>
        </is>
      </c>
    </row>
    <row r="127">
      <c r="A127" t="inlineStr">
        <is>
          <t>Sistema inmunitario</t>
        </is>
      </c>
      <c r="B127" t="inlineStr">
        <is>
          <t>posterior</t>
        </is>
      </c>
      <c r="C127" t="n">
        <v>9</v>
      </c>
      <c r="F127" t="n">
        <v>8</v>
      </c>
      <c r="G127" t="n">
        <v>8.5</v>
      </c>
      <c r="M127" t="n">
        <v>7</v>
      </c>
      <c r="O127" t="n">
        <v>1</v>
      </c>
      <c r="P127" t="n">
        <v>1</v>
      </c>
      <c r="V127" t="n">
        <v>1</v>
      </c>
      <c r="Z127" t="n">
        <v>1</v>
      </c>
      <c r="AF127" t="n">
        <v>9</v>
      </c>
      <c r="AG127" t="inlineStr">
        <is>
          <t>posterior</t>
        </is>
      </c>
      <c r="AH127" t="inlineStr">
        <is>
          <t>posterior</t>
        </is>
      </c>
    </row>
    <row r="128">
      <c r="A128" t="inlineStr">
        <is>
          <t>Termorregulación</t>
        </is>
      </c>
      <c r="B128" t="inlineStr">
        <is>
          <t>posterior</t>
        </is>
      </c>
      <c r="C128" t="n">
        <v>10</v>
      </c>
      <c r="F128" t="n">
        <v>8</v>
      </c>
      <c r="O128" t="n">
        <v>1</v>
      </c>
      <c r="AF128" t="n">
        <v>10</v>
      </c>
      <c r="AG128" t="inlineStr">
        <is>
          <t>posterior</t>
        </is>
      </c>
      <c r="AH128" t="inlineStr">
        <is>
          <t>posterior</t>
        </is>
      </c>
    </row>
    <row r="129">
      <c r="A129" t="inlineStr">
        <is>
          <t>Virus</t>
        </is>
      </c>
      <c r="B129" t="inlineStr">
        <is>
          <t>posterior</t>
        </is>
      </c>
      <c r="C129" t="n">
        <v>9</v>
      </c>
      <c r="F129" t="n">
        <v>8</v>
      </c>
      <c r="G129" t="n">
        <v>8.5</v>
      </c>
      <c r="H129" t="n">
        <v>4</v>
      </c>
      <c r="L129" t="n">
        <v>7.5</v>
      </c>
      <c r="O129" t="n">
        <v>1</v>
      </c>
      <c r="P129" t="n">
        <v>1</v>
      </c>
      <c r="Q129" t="n">
        <v>1</v>
      </c>
      <c r="U129" t="n">
        <v>1</v>
      </c>
      <c r="AF129" t="n">
        <v>9</v>
      </c>
      <c r="AG129" t="inlineStr">
        <is>
          <t>posterior</t>
        </is>
      </c>
      <c r="AH129" t="inlineStr">
        <is>
          <t>posterior</t>
        </is>
      </c>
    </row>
    <row r="130">
      <c r="A130" t="inlineStr">
        <is>
          <t>Acervo génico y frecuencias alélicas</t>
        </is>
      </c>
      <c r="B130" t="inlineStr">
        <is>
          <t>sin_referente</t>
        </is>
      </c>
      <c r="C130" t="n">
        <v>7</v>
      </c>
      <c r="D130" t="n">
        <v>7</v>
      </c>
      <c r="G130" t="n">
        <v>8.5</v>
      </c>
      <c r="P130" t="n">
        <v>1</v>
      </c>
      <c r="AF130" t="n">
        <v>7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Biomas y clasificación de ambientes</t>
        </is>
      </c>
      <c r="B131" t="inlineStr">
        <is>
          <t>sin_referente</t>
        </is>
      </c>
      <c r="C131" t="n">
        <v>4</v>
      </c>
      <c r="D131" t="n">
        <v>4</v>
      </c>
      <c r="F131" t="n">
        <v>8</v>
      </c>
      <c r="H131" t="n">
        <v>3</v>
      </c>
      <c r="O131" t="n">
        <v>1</v>
      </c>
      <c r="Q131" t="n">
        <v>1</v>
      </c>
      <c r="AF131" t="n">
        <v>4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Célula procariota y eucariota</t>
        </is>
      </c>
      <c r="B132" t="inlineStr">
        <is>
          <t>sin_referente</t>
        </is>
      </c>
      <c r="C132" t="n">
        <v>6</v>
      </c>
      <c r="D132" t="n">
        <v>6</v>
      </c>
      <c r="F132" t="n">
        <v>8</v>
      </c>
      <c r="G132" t="n">
        <v>8.5</v>
      </c>
      <c r="O132" t="n">
        <v>1</v>
      </c>
      <c r="P132" t="n">
        <v>1</v>
      </c>
      <c r="AF132" t="n">
        <v>6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Conservación e inocuidad de los alimentos</t>
        </is>
      </c>
      <c r="B133" t="inlineStr">
        <is>
          <t>sin_referente</t>
        </is>
      </c>
      <c r="C133" t="n">
        <v>2</v>
      </c>
      <c r="D133" t="n">
        <v>2</v>
      </c>
      <c r="F133" t="n">
        <v>8</v>
      </c>
      <c r="H133" t="n">
        <v>2</v>
      </c>
      <c r="O133" t="n">
        <v>1</v>
      </c>
      <c r="Q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Ecosistemas acuáticos y marinos</t>
        </is>
      </c>
      <c r="B134" t="inlineStr">
        <is>
          <t>sin_referente</t>
        </is>
      </c>
      <c r="C134" t="n">
        <v>4</v>
      </c>
      <c r="D134" t="n">
        <v>4</v>
      </c>
      <c r="H134" t="n">
        <v>7</v>
      </c>
      <c r="J134" t="n">
        <v>2.5</v>
      </c>
      <c r="Q134" t="n">
        <v>1</v>
      </c>
      <c r="S134" t="n">
        <v>1</v>
      </c>
      <c r="AF134" t="n">
        <v>7</v>
      </c>
      <c r="AG134" t="inlineStr">
        <is>
          <t>sin_referente</t>
        </is>
      </c>
      <c r="AH134" t="inlineStr">
        <is>
          <t>sin_referente</t>
        </is>
      </c>
    </row>
    <row r="135">
      <c r="A135" t="inlineStr">
        <is>
          <t>Ecosistemas naturales, rurales y urbanos</t>
        </is>
      </c>
      <c r="B135" t="inlineStr">
        <is>
          <t>sin_referente</t>
        </is>
      </c>
      <c r="C135" t="n">
        <v>2</v>
      </c>
      <c r="D135" t="n">
        <v>2</v>
      </c>
      <c r="H135" t="n">
        <v>7</v>
      </c>
      <c r="M135" t="n">
        <v>2.5</v>
      </c>
      <c r="Q135" t="n">
        <v>1</v>
      </c>
      <c r="V135" t="n">
        <v>1</v>
      </c>
      <c r="AF135" t="n">
        <v>2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Estructura del ADN</t>
        </is>
      </c>
      <c r="B136" t="inlineStr">
        <is>
          <t>sin_referente</t>
        </is>
      </c>
      <c r="C136" t="n">
        <v>6</v>
      </c>
      <c r="D136" t="n">
        <v>6</v>
      </c>
      <c r="G136" t="n">
        <v>6</v>
      </c>
      <c r="P136" t="n">
        <v>1</v>
      </c>
      <c r="Z136" t="n">
        <v>1</v>
      </c>
      <c r="AF136" t="n">
        <v>6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Fermentación y respiración anaerobia</t>
        </is>
      </c>
      <c r="B137" t="inlineStr">
        <is>
          <t>sin_referente</t>
        </is>
      </c>
      <c r="C137" t="n">
        <v>3</v>
      </c>
      <c r="D137" t="n">
        <v>3</v>
      </c>
      <c r="G137" t="n">
        <v>6</v>
      </c>
      <c r="M137" t="n">
        <v>7</v>
      </c>
      <c r="P137" t="n">
        <v>1</v>
      </c>
      <c r="V137" t="n">
        <v>1</v>
      </c>
      <c r="AF137" t="n">
        <v>3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Filogenia y parentesco evolutivo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G138" t="n">
        <v>8.5</v>
      </c>
      <c r="O138" t="n">
        <v>1</v>
      </c>
      <c r="P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Mecanismos de microevolución</t>
        </is>
      </c>
      <c r="B139" t="inlineStr">
        <is>
          <t>sin_referente</t>
        </is>
      </c>
      <c r="C139" t="n">
        <v>7</v>
      </c>
      <c r="D139" t="n">
        <v>7</v>
      </c>
      <c r="F139" t="n">
        <v>8</v>
      </c>
      <c r="O139" t="n">
        <v>1</v>
      </c>
      <c r="Z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Medidas de biodiversidad</t>
        </is>
      </c>
      <c r="B140" t="inlineStr">
        <is>
          <t>sin_referente</t>
        </is>
      </c>
      <c r="C140" t="n">
        <v>7</v>
      </c>
      <c r="D140" t="n">
        <v>7</v>
      </c>
      <c r="H140" t="n">
        <v>7</v>
      </c>
      <c r="Q140" t="n">
        <v>1</v>
      </c>
      <c r="AF140" t="n">
        <v>7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Membrana celular</t>
        </is>
      </c>
      <c r="B141" t="inlineStr">
        <is>
          <t>sin_referente</t>
        </is>
      </c>
      <c r="C141" t="n">
        <v>6</v>
      </c>
      <c r="D141" t="n">
        <v>6</v>
      </c>
      <c r="G141" t="n">
        <v>6</v>
      </c>
      <c r="K141" t="n">
        <v>7</v>
      </c>
      <c r="P141" t="n">
        <v>1</v>
      </c>
      <c r="T141" t="n">
        <v>1</v>
      </c>
      <c r="Z141" t="n">
        <v>1</v>
      </c>
      <c r="AF141" t="n">
        <v>6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Modelos ecológicos basados en muestreo</t>
        </is>
      </c>
      <c r="B142" t="inlineStr">
        <is>
          <t>sin_referente</t>
        </is>
      </c>
      <c r="C142" t="n">
        <v>7</v>
      </c>
      <c r="D142" t="n">
        <v>7</v>
      </c>
      <c r="G142" t="n">
        <v>8.5</v>
      </c>
      <c r="P142" t="n">
        <v>1</v>
      </c>
      <c r="AF142" t="n">
        <v>7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Mutaciones</t>
        </is>
      </c>
      <c r="B143" t="inlineStr">
        <is>
          <t>sin_referente</t>
        </is>
      </c>
      <c r="C143" t="n">
        <v>7</v>
      </c>
      <c r="D143" t="n">
        <v>7</v>
      </c>
      <c r="G143" t="n">
        <v>8.5</v>
      </c>
      <c r="M143" t="n">
        <v>7</v>
      </c>
      <c r="P143" t="n">
        <v>1</v>
      </c>
      <c r="V143" t="n">
        <v>1</v>
      </c>
      <c r="Z143" t="n">
        <v>1</v>
      </c>
      <c r="AF143" t="n">
        <v>7</v>
      </c>
      <c r="AG143" t="inlineStr">
        <is>
          <t>sin_referente</t>
        </is>
      </c>
      <c r="AH143" t="inlineStr">
        <is>
          <t>sin_referente</t>
        </is>
      </c>
    </row>
    <row r="144">
      <c r="A144" t="inlineStr">
        <is>
          <t>Nicho ecológico y exclusión competitiva</t>
        </is>
      </c>
      <c r="B144" t="inlineStr">
        <is>
          <t>sin_referente</t>
        </is>
      </c>
      <c r="C144" t="n">
        <v>4</v>
      </c>
      <c r="D144" t="n">
        <v>4</v>
      </c>
      <c r="M144" t="n">
        <v>7</v>
      </c>
      <c r="V144" t="n">
        <v>1</v>
      </c>
      <c r="AF144" t="n">
        <v>4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Osmorregulación y equilibrio hídrico</t>
        </is>
      </c>
      <c r="B145" t="inlineStr">
        <is>
          <t>sin_referente</t>
        </is>
      </c>
      <c r="C145" t="n">
        <v>7</v>
      </c>
      <c r="D145" t="n">
        <v>7</v>
      </c>
      <c r="AF145" t="n">
        <v>8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PCR y electroforesis en gel</t>
        </is>
      </c>
      <c r="B146" t="inlineStr">
        <is>
          <t>sin_referente</t>
        </is>
      </c>
      <c r="C146" t="n">
        <v>7</v>
      </c>
      <c r="D146" t="n">
        <v>7</v>
      </c>
      <c r="H146" t="n">
        <v>7</v>
      </c>
      <c r="Q146" t="n">
        <v>1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Replicación del ADN</t>
        </is>
      </c>
      <c r="B147" t="inlineStr">
        <is>
          <t>sin_referente</t>
        </is>
      </c>
      <c r="C147" t="n">
        <v>7</v>
      </c>
      <c r="D147" t="n">
        <v>7</v>
      </c>
      <c r="AF147" t="n">
        <v>7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Selección artificial</t>
        </is>
      </c>
      <c r="B148" t="inlineStr">
        <is>
          <t>sin_referente</t>
        </is>
      </c>
      <c r="C148" t="n">
        <v>7</v>
      </c>
      <c r="D148" t="n">
        <v>7</v>
      </c>
      <c r="G148" t="n">
        <v>8.5</v>
      </c>
      <c r="M148" t="n">
        <v>4.5</v>
      </c>
      <c r="P148" t="n">
        <v>1</v>
      </c>
      <c r="V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Síntesis de proteínas</t>
        </is>
      </c>
      <c r="B149" t="inlineStr">
        <is>
          <t>sin_referente</t>
        </is>
      </c>
      <c r="C149" t="n">
        <v>7</v>
      </c>
      <c r="D149" t="n">
        <v>7</v>
      </c>
      <c r="Z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Sucesión ecológica</t>
        </is>
      </c>
      <c r="B150" t="inlineStr">
        <is>
          <t>sin_referente</t>
        </is>
      </c>
      <c r="C150" t="n">
        <v>7</v>
      </c>
      <c r="D150" t="n">
        <v>7</v>
      </c>
      <c r="K150" t="n">
        <v>5</v>
      </c>
      <c r="M150" t="n">
        <v>7</v>
      </c>
      <c r="T150" t="n">
        <v>1</v>
      </c>
      <c r="V150" t="n">
        <v>1</v>
      </c>
      <c r="AF150" t="n">
        <v>7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Transporte activo y endocitosis</t>
        </is>
      </c>
      <c r="B151" t="inlineStr">
        <is>
          <t>sin_referente</t>
        </is>
      </c>
      <c r="C151" t="n">
        <v>6</v>
      </c>
      <c r="D151" t="n">
        <v>6</v>
      </c>
      <c r="G151" t="n">
        <v>8.5</v>
      </c>
      <c r="P151" t="n">
        <v>1</v>
      </c>
      <c r="AF151" t="n">
        <v>6</v>
      </c>
      <c r="AG151" t="inlineStr">
        <is>
          <t>sin_referente</t>
        </is>
      </c>
      <c r="AH151" t="inlineStr">
        <is>
          <t>sin_referente</t>
        </is>
      </c>
    </row>
    <row r="152">
      <c r="A152" t="inlineStr">
        <is>
          <t>Tropismos y hormonas vegetales</t>
        </is>
      </c>
      <c r="B152" t="inlineStr">
        <is>
          <t>sin_referente</t>
        </is>
      </c>
      <c r="C152" t="n">
        <v>3</v>
      </c>
      <c r="D152" t="n">
        <v>3</v>
      </c>
      <c r="K152" t="n">
        <v>2</v>
      </c>
      <c r="T152" t="n">
        <v>1</v>
      </c>
      <c r="AF152" t="n">
        <v>3</v>
      </c>
      <c r="AG152" t="inlineStr">
        <is>
          <t>sin_referente</t>
        </is>
      </c>
      <c r="AH152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  <row r="152">
      <c r="A152">
        <f>Datos!A152</f>
        <v/>
      </c>
      <c r="B152">
        <f>IF(Datos!C152="","",Datos!C152)</f>
        <v/>
      </c>
      <c r="C152">
        <f>COUNT(Datos!E152:M152)</f>
        <v/>
      </c>
      <c r="D152">
        <f>IF(C152=0,"",MEDIAN(Datos!E152:M152))</f>
        <v/>
      </c>
      <c r="E152">
        <f>COUNT(Datos!W152:AE152)</f>
        <v/>
      </c>
      <c r="F152">
        <f>IF(OR(B152="",D152=""),"",B152-D152)</f>
        <v/>
      </c>
      <c r="G152">
        <f>IF(Datos!D152="","",Datos!D152)</f>
        <v/>
      </c>
      <c r="H152">
        <f>COUNT(Datos!N152:V152)</f>
        <v/>
      </c>
      <c r="I152">
        <f>IF(B152="",IF(C152&gt;=5,"falta en SV",""),IF(G152="",IF(B152&gt;8,IF(C152&gt;=5,"SV tarde","despues del tramo"),IF(H152&gt;=5,"no retomado en 2-8","previo")),IF(B152&lt;2,"retomado",IF(AND(C152&lt;=1,E152&gt;=3),"solo especializacion",IF(F152="","coherente",IF(F152&lt;=-1.5,"SV adelantado",IF(F152&gt;=2,"SV tarde","coherente")))))))</f>
        <v/>
      </c>
      <c r="J152">
        <f>Datos!B152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COUNTIF(Datos!B2:B152,A2)</f>
        <v/>
      </c>
    </row>
    <row r="3">
      <c r="A3" t="inlineStr">
        <is>
          <t>tardio</t>
        </is>
      </c>
      <c r="B3">
        <f>COUNTIF(Datos!B2:B152,A3)</f>
        <v/>
      </c>
    </row>
    <row r="4">
      <c r="A4" t="inlineStr">
        <is>
          <t>posterior</t>
        </is>
      </c>
      <c r="B4">
        <f>COUNTIF(Datos!B2:B152,A4)</f>
        <v/>
      </c>
    </row>
    <row r="5">
      <c r="A5" t="inlineStr">
        <is>
          <t>adelantado</t>
        </is>
      </c>
      <c r="B5">
        <f>COUNTIF(Datos!B2:B152,A5)</f>
        <v/>
      </c>
    </row>
    <row r="6">
      <c r="A6" t="inlineStr">
        <is>
          <t>sin_referente</t>
        </is>
      </c>
      <c r="B6">
        <f>COUNTIF(Datos!B2:B152,A6)</f>
        <v/>
      </c>
    </row>
    <row r="7">
      <c r="A7" t="inlineStr">
        <is>
          <t>alineado</t>
        </is>
      </c>
      <c r="B7">
        <f>COUNTIF(Datos!B2:B152,A7)</f>
        <v/>
      </c>
    </row>
    <row r="8">
      <c r="A8" t="inlineStr">
        <is>
          <t>incierto</t>
        </is>
      </c>
      <c r="B8">
        <f>COUNTIF(Datos!B2:B152,A8)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