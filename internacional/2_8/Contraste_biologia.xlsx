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Adaptaciones estructurales</t>
        </is>
      </c>
      <c r="B2" t="inlineStr">
        <is>
          <t>adelantado</t>
        </is>
      </c>
      <c r="C2" t="n">
        <v>2</v>
      </c>
      <c r="D2" t="n">
        <v>2</v>
      </c>
      <c r="E2" t="n">
        <v>4</v>
      </c>
      <c r="F2" t="n">
        <v>5</v>
      </c>
      <c r="G2" t="n">
        <v>4</v>
      </c>
      <c r="H2" t="n">
        <v>3</v>
      </c>
      <c r="J2" t="n">
        <v>2.5</v>
      </c>
      <c r="K2" t="n">
        <v>2</v>
      </c>
      <c r="L2" t="n">
        <v>6</v>
      </c>
      <c r="M2" t="n">
        <v>2.5</v>
      </c>
      <c r="N2" t="n">
        <v>1</v>
      </c>
      <c r="O2" t="n">
        <v>1</v>
      </c>
      <c r="P2" t="n">
        <v>1</v>
      </c>
      <c r="Q2" t="n">
        <v>1</v>
      </c>
      <c r="S2" t="n">
        <v>1</v>
      </c>
      <c r="T2" t="n">
        <v>1</v>
      </c>
      <c r="U2" t="n">
        <v>1</v>
      </c>
      <c r="V2" t="n">
        <v>1</v>
      </c>
      <c r="AF2" t="n">
        <v>2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Agricultura y seguridad alimentaria</t>
        </is>
      </c>
      <c r="B3" t="inlineStr">
        <is>
          <t>adelantado</t>
        </is>
      </c>
      <c r="C3" t="n">
        <v>2</v>
      </c>
      <c r="D3" t="n">
        <v>2</v>
      </c>
      <c r="F3" t="n">
        <v>5</v>
      </c>
      <c r="G3" t="n">
        <v>6</v>
      </c>
      <c r="K3" t="n">
        <v>2</v>
      </c>
      <c r="M3" t="n">
        <v>4.5</v>
      </c>
      <c r="O3" t="n">
        <v>1</v>
      </c>
      <c r="P3" t="n">
        <v>1</v>
      </c>
      <c r="T3" t="n">
        <v>1</v>
      </c>
      <c r="V3" t="n">
        <v>1</v>
      </c>
      <c r="AF3" t="n">
        <v>2</v>
      </c>
      <c r="AG3" t="inlineStr">
        <is>
          <t>adelantado</t>
        </is>
      </c>
      <c r="AH3" t="inlineStr">
        <is>
          <t>adelantado</t>
        </is>
      </c>
    </row>
    <row r="4">
      <c r="A4" t="inlineStr">
        <is>
          <t>Amenazas a la biodiversidad</t>
        </is>
      </c>
      <c r="B4" t="inlineStr">
        <is>
          <t>adelantado</t>
        </is>
      </c>
      <c r="C4" t="n">
        <v>2</v>
      </c>
      <c r="D4" t="n">
        <v>2</v>
      </c>
      <c r="F4" t="n">
        <v>5</v>
      </c>
      <c r="G4" t="n">
        <v>2</v>
      </c>
      <c r="H4" t="n">
        <v>2</v>
      </c>
      <c r="I4" t="n">
        <v>8</v>
      </c>
      <c r="J4" t="n">
        <v>2.5</v>
      </c>
      <c r="K4" t="n">
        <v>2</v>
      </c>
      <c r="L4" t="n">
        <v>6</v>
      </c>
      <c r="M4" t="n">
        <v>4.5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t="n">
        <v>1</v>
      </c>
      <c r="AF4" t="n">
        <v>2</v>
      </c>
      <c r="AG4" t="inlineStr">
        <is>
          <t>adelantado</t>
        </is>
      </c>
      <c r="AH4" t="inlineStr">
        <is>
          <t>adelantado</t>
        </is>
      </c>
    </row>
    <row r="5">
      <c r="A5" t="inlineStr">
        <is>
          <t>Biotecnología microbiana</t>
        </is>
      </c>
      <c r="B5" t="inlineStr">
        <is>
          <t>adelantado</t>
        </is>
      </c>
      <c r="C5" t="n">
        <v>3</v>
      </c>
      <c r="D5" t="n">
        <v>3</v>
      </c>
      <c r="F5" t="n">
        <v>8</v>
      </c>
      <c r="H5" t="n">
        <v>7</v>
      </c>
      <c r="J5" t="n">
        <v>2.5</v>
      </c>
      <c r="M5" t="n">
        <v>7</v>
      </c>
      <c r="O5" t="n">
        <v>1</v>
      </c>
      <c r="Q5" t="n">
        <v>1</v>
      </c>
      <c r="S5" t="n">
        <v>1</v>
      </c>
      <c r="V5" t="n">
        <v>1</v>
      </c>
      <c r="AF5" t="n">
        <v>3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Conservación de la biodiversidad</t>
        </is>
      </c>
      <c r="B6" t="inlineStr">
        <is>
          <t>adelantado</t>
        </is>
      </c>
      <c r="C6" t="n">
        <v>2</v>
      </c>
      <c r="D6" t="n">
        <v>2</v>
      </c>
      <c r="F6" t="n">
        <v>2.5</v>
      </c>
      <c r="G6" t="n">
        <v>6</v>
      </c>
      <c r="H6" t="n">
        <v>2</v>
      </c>
      <c r="I6" t="n">
        <v>8</v>
      </c>
      <c r="J6" t="n">
        <v>2.5</v>
      </c>
      <c r="K6" t="n">
        <v>2</v>
      </c>
      <c r="L6" t="n">
        <v>4.5</v>
      </c>
      <c r="M6" t="n">
        <v>7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AF6" t="n">
        <v>2</v>
      </c>
      <c r="AG6" t="inlineStr">
        <is>
          <t>adelantado</t>
        </is>
      </c>
      <c r="AH6" t="inlineStr">
        <is>
          <t>adelantado</t>
        </is>
      </c>
    </row>
    <row r="7">
      <c r="A7" t="inlineStr">
        <is>
          <t>Energía de los alimentos y balance energético</t>
        </is>
      </c>
      <c r="B7" t="inlineStr">
        <is>
          <t>adelantado</t>
        </is>
      </c>
      <c r="C7" t="n">
        <v>4</v>
      </c>
      <c r="D7" t="n">
        <v>4</v>
      </c>
      <c r="F7" t="n">
        <v>8</v>
      </c>
      <c r="G7" t="n">
        <v>2</v>
      </c>
      <c r="H7" t="n">
        <v>2</v>
      </c>
      <c r="K7" t="n">
        <v>2</v>
      </c>
      <c r="L7" t="n">
        <v>6</v>
      </c>
      <c r="O7" t="n">
        <v>1</v>
      </c>
      <c r="P7" t="n">
        <v>1</v>
      </c>
      <c r="Q7" t="n">
        <v>1</v>
      </c>
      <c r="T7" t="n">
        <v>1</v>
      </c>
      <c r="U7" t="n">
        <v>1</v>
      </c>
      <c r="Z7" t="n">
        <v>1</v>
      </c>
      <c r="AF7" t="n">
        <v>4</v>
      </c>
      <c r="AG7" t="inlineStr">
        <is>
          <t>adelantado</t>
        </is>
      </c>
      <c r="AH7" t="inlineStr">
        <is>
          <t>alineado</t>
        </is>
      </c>
    </row>
    <row r="8">
      <c r="A8" t="inlineStr">
        <is>
          <t>Enfermedades infecciosas y no infecciosas</t>
        </is>
      </c>
      <c r="B8" t="inlineStr">
        <is>
          <t>adelantado</t>
        </is>
      </c>
      <c r="C8" t="n">
        <v>3</v>
      </c>
      <c r="D8" t="n">
        <v>3</v>
      </c>
      <c r="F8" t="n">
        <v>8</v>
      </c>
      <c r="G8" t="n">
        <v>6</v>
      </c>
      <c r="H8" t="n">
        <v>3</v>
      </c>
      <c r="J8" t="n">
        <v>2.5</v>
      </c>
      <c r="K8" t="n">
        <v>4</v>
      </c>
      <c r="L8" t="n">
        <v>7.5</v>
      </c>
      <c r="O8" t="n">
        <v>1</v>
      </c>
      <c r="P8" t="n">
        <v>1</v>
      </c>
      <c r="Q8" t="n">
        <v>1</v>
      </c>
      <c r="S8" t="n">
        <v>1</v>
      </c>
      <c r="T8" t="n">
        <v>1</v>
      </c>
      <c r="U8" t="n">
        <v>1</v>
      </c>
      <c r="Z8" t="n">
        <v>1</v>
      </c>
      <c r="AF8" t="n">
        <v>3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Fósiles y registro fósil</t>
        </is>
      </c>
      <c r="B9" t="inlineStr">
        <is>
          <t>adelantado</t>
        </is>
      </c>
      <c r="C9" t="n">
        <v>3</v>
      </c>
      <c r="D9" t="n">
        <v>3</v>
      </c>
      <c r="F9" t="n">
        <v>8</v>
      </c>
      <c r="G9" t="n">
        <v>2</v>
      </c>
      <c r="H9" t="n">
        <v>4</v>
      </c>
      <c r="I9" t="n">
        <v>5</v>
      </c>
      <c r="J9" t="n">
        <v>4.5</v>
      </c>
      <c r="K9" t="n">
        <v>3</v>
      </c>
      <c r="M9" t="n">
        <v>4.5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V9" t="n">
        <v>1</v>
      </c>
      <c r="AF9" t="n">
        <v>3</v>
      </c>
      <c r="AG9" t="inlineStr">
        <is>
          <t>adelantado</t>
        </is>
      </c>
      <c r="AH9" t="inlineStr">
        <is>
          <t>adelantado</t>
        </is>
      </c>
    </row>
    <row r="10">
      <c r="A10" t="inlineStr">
        <is>
          <t>Grupos de plantas</t>
        </is>
      </c>
      <c r="B10" t="inlineStr">
        <is>
          <t>adelantado</t>
        </is>
      </c>
      <c r="C10" t="n">
        <v>3</v>
      </c>
      <c r="D10" t="n">
        <v>3</v>
      </c>
      <c r="F10" t="n">
        <v>8</v>
      </c>
      <c r="G10" t="n">
        <v>2</v>
      </c>
      <c r="H10" t="n">
        <v>2</v>
      </c>
      <c r="J10" t="n">
        <v>4.5</v>
      </c>
      <c r="L10" t="n">
        <v>5</v>
      </c>
      <c r="O10" t="n">
        <v>1</v>
      </c>
      <c r="P10" t="n">
        <v>1</v>
      </c>
      <c r="Q10" t="n">
        <v>1</v>
      </c>
      <c r="S10" t="n">
        <v>1</v>
      </c>
      <c r="U10" t="n">
        <v>1</v>
      </c>
      <c r="AF10" t="n">
        <v>3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Historia de la vida en la Tierra</t>
        </is>
      </c>
      <c r="B11" t="inlineStr">
        <is>
          <t>adelantado</t>
        </is>
      </c>
      <c r="C11" t="n">
        <v>2</v>
      </c>
      <c r="D11" t="n">
        <v>2</v>
      </c>
      <c r="F11" t="n">
        <v>8</v>
      </c>
      <c r="G11" t="n">
        <v>4</v>
      </c>
      <c r="I11" t="n">
        <v>8</v>
      </c>
      <c r="M11" t="n">
        <v>7</v>
      </c>
      <c r="O11" t="n">
        <v>1</v>
      </c>
      <c r="P11" t="n">
        <v>1</v>
      </c>
      <c r="R11" t="n">
        <v>1</v>
      </c>
      <c r="V11" t="n">
        <v>1</v>
      </c>
      <c r="AF11" t="n">
        <v>5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Inmunidad activa, pasiva y vacunas</t>
        </is>
      </c>
      <c r="B12" t="inlineStr">
        <is>
          <t>adelantado</t>
        </is>
      </c>
      <c r="C12" t="n">
        <v>2</v>
      </c>
      <c r="D12" t="n">
        <v>2</v>
      </c>
      <c r="F12" t="n">
        <v>8</v>
      </c>
      <c r="G12" t="n">
        <v>8.5</v>
      </c>
      <c r="H12" t="n">
        <v>3</v>
      </c>
      <c r="O12" t="n">
        <v>1</v>
      </c>
      <c r="P12" t="n">
        <v>1</v>
      </c>
      <c r="Q12" t="n">
        <v>1</v>
      </c>
      <c r="Z12" t="n">
        <v>1</v>
      </c>
      <c r="AF12" t="n">
        <v>2</v>
      </c>
      <c r="AG12" t="inlineStr">
        <is>
          <t>adelantado</t>
        </is>
      </c>
      <c r="AH12" t="inlineStr">
        <is>
          <t>adelantado</t>
        </is>
      </c>
    </row>
    <row r="13">
      <c r="A13" t="inlineStr">
        <is>
          <t>Intercambio de gases en animales</t>
        </is>
      </c>
      <c r="B13" t="inlineStr">
        <is>
          <t>adelantado</t>
        </is>
      </c>
      <c r="C13" t="n">
        <v>3</v>
      </c>
      <c r="D13" t="n">
        <v>3</v>
      </c>
      <c r="F13" t="n">
        <v>8</v>
      </c>
      <c r="G13" t="n">
        <v>6</v>
      </c>
      <c r="H13" t="n">
        <v>7</v>
      </c>
      <c r="I13" t="n">
        <v>5</v>
      </c>
      <c r="J13" t="n">
        <v>7</v>
      </c>
      <c r="L13" t="n">
        <v>5</v>
      </c>
      <c r="M13" t="n">
        <v>7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U13" t="n">
        <v>1</v>
      </c>
      <c r="V13" t="n">
        <v>1</v>
      </c>
      <c r="AF13" t="n">
        <v>3</v>
      </c>
      <c r="AG13" t="inlineStr">
        <is>
          <t>adelantado</t>
        </is>
      </c>
      <c r="AH13" t="inlineStr">
        <is>
          <t>adelantado</t>
        </is>
      </c>
    </row>
    <row r="14">
      <c r="A14" t="inlineStr">
        <is>
          <t>Meiosis</t>
        </is>
      </c>
      <c r="B14" t="inlineStr">
        <is>
          <t>adelantado</t>
        </is>
      </c>
      <c r="C14" t="n">
        <v>6</v>
      </c>
      <c r="D14" t="n">
        <v>6</v>
      </c>
      <c r="F14" t="n">
        <v>8</v>
      </c>
      <c r="G14" t="n">
        <v>8.5</v>
      </c>
      <c r="J14" t="n">
        <v>7</v>
      </c>
      <c r="O14" t="n">
        <v>1</v>
      </c>
      <c r="P14" t="n">
        <v>1</v>
      </c>
      <c r="S14" t="n">
        <v>1</v>
      </c>
      <c r="Z14" t="n">
        <v>1</v>
      </c>
      <c r="AF14" t="n">
        <v>6</v>
      </c>
      <c r="AG14" t="inlineStr">
        <is>
          <t>sin_referente</t>
        </is>
      </c>
      <c r="AH14" t="inlineStr">
        <is>
          <t>adelantado</t>
        </is>
      </c>
    </row>
    <row r="15">
      <c r="A15" t="inlineStr">
        <is>
          <t>Microorganismos</t>
        </is>
      </c>
      <c r="B15" t="inlineStr">
        <is>
          <t>adelantado</t>
        </is>
      </c>
      <c r="C15" t="n">
        <v>2</v>
      </c>
      <c r="D15" t="n">
        <v>2</v>
      </c>
      <c r="F15" t="n">
        <v>5</v>
      </c>
      <c r="G15" t="n">
        <v>4</v>
      </c>
      <c r="H15" t="n">
        <v>2</v>
      </c>
      <c r="J15" t="n">
        <v>2.5</v>
      </c>
      <c r="L15" t="n">
        <v>7.5</v>
      </c>
      <c r="M15" t="n">
        <v>7</v>
      </c>
      <c r="O15" t="n">
        <v>1</v>
      </c>
      <c r="P15" t="n">
        <v>1</v>
      </c>
      <c r="Q15" t="n">
        <v>1</v>
      </c>
      <c r="S15" t="n">
        <v>1</v>
      </c>
      <c r="U15" t="n">
        <v>1</v>
      </c>
      <c r="V15" t="n">
        <v>1</v>
      </c>
      <c r="Z15" t="n">
        <v>1</v>
      </c>
      <c r="AF15" t="n">
        <v>2</v>
      </c>
      <c r="AG15" t="inlineStr">
        <is>
          <t>adelantado</t>
        </is>
      </c>
      <c r="AH15" t="inlineStr">
        <is>
          <t>adelantado</t>
        </is>
      </c>
    </row>
    <row r="16">
      <c r="A16" t="inlineStr">
        <is>
          <t>Mitosis y ciclo celular</t>
        </is>
      </c>
      <c r="B16" t="inlineStr">
        <is>
          <t>adelantado</t>
        </is>
      </c>
      <c r="C16" t="n">
        <v>6</v>
      </c>
      <c r="D16" t="n">
        <v>6</v>
      </c>
      <c r="G16" t="n">
        <v>8.5</v>
      </c>
      <c r="H16" t="n">
        <v>7</v>
      </c>
      <c r="I16" t="n">
        <v>8</v>
      </c>
      <c r="J16" t="n">
        <v>7</v>
      </c>
      <c r="K16" t="n">
        <v>7</v>
      </c>
      <c r="L16" t="n">
        <v>7.5</v>
      </c>
      <c r="M16" t="n">
        <v>7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AF16" t="n">
        <v>6</v>
      </c>
      <c r="AG16" t="inlineStr">
        <is>
          <t>adelantado</t>
        </is>
      </c>
      <c r="AH16" t="inlineStr">
        <is>
          <t>alineado</t>
        </is>
      </c>
    </row>
    <row r="17">
      <c r="A17" t="inlineStr">
        <is>
          <t>Nutrientes y sus funciones</t>
        </is>
      </c>
      <c r="B17" t="inlineStr">
        <is>
          <t>adelantado</t>
        </is>
      </c>
      <c r="C17" t="n">
        <v>4</v>
      </c>
      <c r="D17" t="n">
        <v>4</v>
      </c>
      <c r="F17" t="n">
        <v>8</v>
      </c>
      <c r="G17" t="n">
        <v>6</v>
      </c>
      <c r="H17" t="n">
        <v>2</v>
      </c>
      <c r="L17" t="n">
        <v>7.5</v>
      </c>
      <c r="O17" t="n">
        <v>1</v>
      </c>
      <c r="P17" t="n">
        <v>1</v>
      </c>
      <c r="Q17" t="n">
        <v>1</v>
      </c>
      <c r="U17" t="n">
        <v>1</v>
      </c>
      <c r="Z17" t="n">
        <v>1</v>
      </c>
      <c r="AF17" t="n">
        <v>4</v>
      </c>
      <c r="AG17" t="inlineStr">
        <is>
          <t>adelantado</t>
        </is>
      </c>
      <c r="AH17" t="inlineStr">
        <is>
          <t>adelantado</t>
        </is>
      </c>
    </row>
    <row r="18">
      <c r="A18" t="inlineStr">
        <is>
          <t>Redes tróficas</t>
        </is>
      </c>
      <c r="B18" t="inlineStr">
        <is>
          <t>adelantado</t>
        </is>
      </c>
      <c r="C18" t="n">
        <v>4</v>
      </c>
      <c r="D18" t="n">
        <v>4</v>
      </c>
      <c r="E18" t="n">
        <v>6</v>
      </c>
      <c r="F18" t="n">
        <v>5</v>
      </c>
      <c r="G18" t="n">
        <v>6</v>
      </c>
      <c r="H18" t="n">
        <v>7</v>
      </c>
      <c r="I18" t="n">
        <v>8</v>
      </c>
      <c r="J18" t="n">
        <v>2.5</v>
      </c>
      <c r="K18" t="n">
        <v>3</v>
      </c>
      <c r="L18" t="n">
        <v>6</v>
      </c>
      <c r="M18" t="n">
        <v>4.5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AF18" t="n">
        <v>4</v>
      </c>
      <c r="AG18" t="inlineStr">
        <is>
          <t>adelantado</t>
        </is>
      </c>
      <c r="AH18" t="inlineStr">
        <is>
          <t>adelantado</t>
        </is>
      </c>
    </row>
    <row r="19">
      <c r="A19" t="inlineStr">
        <is>
          <t>Grandes grupos taxonómicos</t>
        </is>
      </c>
      <c r="B19" t="inlineStr">
        <is>
          <t>adelantado</t>
        </is>
      </c>
      <c r="C19" t="n">
        <v>2</v>
      </c>
      <c r="D19" t="n">
        <v>2</v>
      </c>
      <c r="F19" t="n">
        <v>4</v>
      </c>
      <c r="G19" t="n">
        <v>4</v>
      </c>
      <c r="H19" t="n">
        <v>4</v>
      </c>
      <c r="J19" t="n">
        <v>2.5</v>
      </c>
      <c r="K19" t="n">
        <v>5</v>
      </c>
      <c r="L19" t="n">
        <v>3</v>
      </c>
      <c r="O19" t="n">
        <v>1</v>
      </c>
      <c r="P19" t="n">
        <v>1</v>
      </c>
      <c r="Q19" t="n">
        <v>1</v>
      </c>
      <c r="S19" t="n">
        <v>1</v>
      </c>
      <c r="T19" t="n">
        <v>1</v>
      </c>
      <c r="U19" t="n">
        <v>1</v>
      </c>
      <c r="AF19" t="n">
        <v>2</v>
      </c>
      <c r="AG19" t="inlineStr">
        <is>
          <t>adelantado</t>
        </is>
      </c>
      <c r="AH19" t="inlineStr">
        <is>
          <t>adelantado</t>
        </is>
      </c>
    </row>
    <row r="20">
      <c r="A20" t="inlineStr">
        <is>
          <t>Simbiosis: mutualismo, comensalismo y parasitismo</t>
        </is>
      </c>
      <c r="B20" t="inlineStr">
        <is>
          <t>adelantado</t>
        </is>
      </c>
      <c r="C20" t="n">
        <v>4</v>
      </c>
      <c r="D20" t="n">
        <v>4</v>
      </c>
      <c r="F20" t="n">
        <v>8</v>
      </c>
      <c r="G20" t="n">
        <v>6</v>
      </c>
      <c r="H20" t="n">
        <v>7</v>
      </c>
      <c r="K20" t="n">
        <v>2</v>
      </c>
      <c r="L20" t="n">
        <v>7.5</v>
      </c>
      <c r="M20" t="n">
        <v>4.5</v>
      </c>
      <c r="O20" t="n">
        <v>1</v>
      </c>
      <c r="P20" t="n">
        <v>1</v>
      </c>
      <c r="Q20" t="n">
        <v>1</v>
      </c>
      <c r="T20" t="n">
        <v>1</v>
      </c>
      <c r="U20" t="n">
        <v>1</v>
      </c>
      <c r="V20" t="n">
        <v>1</v>
      </c>
      <c r="AF20" t="n">
        <v>5</v>
      </c>
      <c r="AG20" t="inlineStr">
        <is>
          <t>adelantado</t>
        </is>
      </c>
      <c r="AH20" t="inlineStr">
        <is>
          <t>adelantado</t>
        </is>
      </c>
    </row>
    <row r="21">
      <c r="A21" t="inlineStr">
        <is>
          <t>Sistema excretor</t>
        </is>
      </c>
      <c r="B21" t="inlineStr">
        <is>
          <t>adelantado</t>
        </is>
      </c>
      <c r="C21" t="n">
        <v>4</v>
      </c>
      <c r="D21" t="n">
        <v>4</v>
      </c>
      <c r="F21" t="n">
        <v>8</v>
      </c>
      <c r="G21" t="n">
        <v>8.5</v>
      </c>
      <c r="H21" t="n">
        <v>5</v>
      </c>
      <c r="I21" t="n">
        <v>7</v>
      </c>
      <c r="J21" t="n">
        <v>7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AF21" t="n">
        <v>4</v>
      </c>
      <c r="AG21" t="inlineStr">
        <is>
          <t>adelantado</t>
        </is>
      </c>
      <c r="AH21" t="inlineStr">
        <is>
          <t>adelantado</t>
        </is>
      </c>
    </row>
    <row r="22">
      <c r="A22" t="inlineStr">
        <is>
          <t>Sistema nervioso</t>
        </is>
      </c>
      <c r="B22" t="inlineStr">
        <is>
          <t>adelantado</t>
        </is>
      </c>
      <c r="C22" t="n">
        <v>4</v>
      </c>
      <c r="D22" t="n">
        <v>4</v>
      </c>
      <c r="E22" t="n">
        <v>8</v>
      </c>
      <c r="F22" t="n">
        <v>8</v>
      </c>
      <c r="G22" t="n">
        <v>6</v>
      </c>
      <c r="H22" t="n">
        <v>5</v>
      </c>
      <c r="I22" t="n">
        <v>7</v>
      </c>
      <c r="J22" t="n">
        <v>7</v>
      </c>
      <c r="K22" t="n">
        <v>4</v>
      </c>
      <c r="M22" t="n">
        <v>2.5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1</v>
      </c>
      <c r="V22" t="n">
        <v>1</v>
      </c>
      <c r="Z22" t="n">
        <v>1</v>
      </c>
      <c r="AF22" t="n">
        <v>4</v>
      </c>
      <c r="AG22" t="inlineStr">
        <is>
          <t>adelantado</t>
        </is>
      </c>
      <c r="AH22" t="inlineStr">
        <is>
          <t>adelantado</t>
        </is>
      </c>
    </row>
    <row r="23">
      <c r="A23" t="inlineStr">
        <is>
          <t>Sostenibilidad de la biosfera</t>
        </is>
      </c>
      <c r="B23" t="inlineStr">
        <is>
          <t>adelantado</t>
        </is>
      </c>
      <c r="C23" t="n">
        <v>2</v>
      </c>
      <c r="D23" t="n">
        <v>2</v>
      </c>
      <c r="F23" t="n">
        <v>2.5</v>
      </c>
      <c r="G23" t="n">
        <v>8.5</v>
      </c>
      <c r="H23" t="n">
        <v>4</v>
      </c>
      <c r="I23" t="n">
        <v>8</v>
      </c>
      <c r="J23" t="n">
        <v>2.5</v>
      </c>
      <c r="K23" t="n">
        <v>2</v>
      </c>
      <c r="L23" t="n">
        <v>4.5</v>
      </c>
      <c r="M23" t="n">
        <v>4.5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AF23" t="n">
        <v>2</v>
      </c>
      <c r="AG23" t="inlineStr">
        <is>
          <t>adelantado</t>
        </is>
      </c>
      <c r="AH23" t="inlineStr">
        <is>
          <t>adelantado</t>
        </is>
      </c>
    </row>
    <row r="24">
      <c r="A24" t="inlineStr">
        <is>
          <t>Tipos de patógenos</t>
        </is>
      </c>
      <c r="B24" t="inlineStr">
        <is>
          <t>adelantado</t>
        </is>
      </c>
      <c r="C24" t="n">
        <v>3</v>
      </c>
      <c r="D24" t="n">
        <v>3</v>
      </c>
      <c r="F24" t="n">
        <v>8</v>
      </c>
      <c r="G24" t="n">
        <v>8.5</v>
      </c>
      <c r="H24" t="n">
        <v>3</v>
      </c>
      <c r="L24" t="n">
        <v>7.5</v>
      </c>
      <c r="M24" t="n">
        <v>7</v>
      </c>
      <c r="O24" t="n">
        <v>1</v>
      </c>
      <c r="P24" t="n">
        <v>1</v>
      </c>
      <c r="Q24" t="n">
        <v>1</v>
      </c>
      <c r="U24" t="n">
        <v>1</v>
      </c>
      <c r="V24" t="n">
        <v>1</v>
      </c>
      <c r="Z24" t="n">
        <v>1</v>
      </c>
      <c r="AF24" t="n">
        <v>3</v>
      </c>
      <c r="AG24" t="inlineStr">
        <is>
          <t>adelantado</t>
        </is>
      </c>
      <c r="AH24" t="inlineStr">
        <is>
          <t>adelantado</t>
        </is>
      </c>
    </row>
    <row r="25">
      <c r="A25" t="inlineStr">
        <is>
          <t>Transmisión de patógenos</t>
        </is>
      </c>
      <c r="B25" t="inlineStr">
        <is>
          <t>adelantado</t>
        </is>
      </c>
      <c r="C25" t="n">
        <v>3</v>
      </c>
      <c r="D25" t="n">
        <v>3</v>
      </c>
      <c r="F25" t="n">
        <v>8</v>
      </c>
      <c r="G25" t="n">
        <v>8.5</v>
      </c>
      <c r="H25" t="n">
        <v>3</v>
      </c>
      <c r="J25" t="n">
        <v>2.5</v>
      </c>
      <c r="L25" t="n">
        <v>7.5</v>
      </c>
      <c r="O25" t="n">
        <v>1</v>
      </c>
      <c r="P25" t="n">
        <v>1</v>
      </c>
      <c r="Q25" t="n">
        <v>1</v>
      </c>
      <c r="S25" t="n">
        <v>1</v>
      </c>
      <c r="U25" t="n">
        <v>1</v>
      </c>
      <c r="AG25" t="inlineStr">
        <is>
          <t>adelantado</t>
        </is>
      </c>
      <c r="AH25" t="inlineStr">
        <is>
          <t>faltante</t>
        </is>
      </c>
    </row>
    <row r="26">
      <c r="A26" t="inlineStr">
        <is>
          <t>Adaptaciones conductuales</t>
        </is>
      </c>
      <c r="B26" t="inlineStr">
        <is>
          <t>alineado</t>
        </is>
      </c>
      <c r="C26" t="n">
        <v>3</v>
      </c>
      <c r="D26" t="n">
        <v>3</v>
      </c>
      <c r="E26" t="n">
        <v>4</v>
      </c>
      <c r="F26" t="n">
        <v>5</v>
      </c>
      <c r="G26" t="n">
        <v>4</v>
      </c>
      <c r="H26" t="n">
        <v>3</v>
      </c>
      <c r="I26" t="n">
        <v>3</v>
      </c>
      <c r="J26" t="n">
        <v>2.5</v>
      </c>
      <c r="K26" t="n">
        <v>2</v>
      </c>
      <c r="L26" t="n">
        <v>6</v>
      </c>
      <c r="M26" t="n">
        <v>4.5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AG26" t="inlineStr">
        <is>
          <t>alineado</t>
        </is>
      </c>
      <c r="AH26" t="inlineStr">
        <is>
          <t>faltante</t>
        </is>
      </c>
    </row>
    <row r="27">
      <c r="A27" t="inlineStr">
        <is>
          <t>ADN y cromosomas</t>
        </is>
      </c>
      <c r="B27" t="inlineStr">
        <is>
          <t>alineado</t>
        </is>
      </c>
      <c r="C27" t="n">
        <v>6</v>
      </c>
      <c r="D27" t="n">
        <v>6</v>
      </c>
      <c r="F27" t="n">
        <v>8</v>
      </c>
      <c r="G27" t="n">
        <v>6</v>
      </c>
      <c r="J27" t="n">
        <v>7</v>
      </c>
      <c r="L27" t="n">
        <v>7.5</v>
      </c>
      <c r="M27" t="n">
        <v>7</v>
      </c>
      <c r="O27" t="n">
        <v>1</v>
      </c>
      <c r="P27" t="n">
        <v>1</v>
      </c>
      <c r="S27" t="n">
        <v>1</v>
      </c>
      <c r="U27" t="n">
        <v>1</v>
      </c>
      <c r="V27" t="n">
        <v>1</v>
      </c>
      <c r="Z27" t="n">
        <v>1</v>
      </c>
      <c r="AF27" t="n">
        <v>6</v>
      </c>
      <c r="AG27" t="inlineStr">
        <is>
          <t>alineado</t>
        </is>
      </c>
      <c r="AH27" t="inlineStr">
        <is>
          <t>alineado</t>
        </is>
      </c>
    </row>
    <row r="28">
      <c r="A28" t="inlineStr">
        <is>
          <t>Biodiversidad</t>
        </is>
      </c>
      <c r="B28" t="inlineStr">
        <is>
          <t>alineado</t>
        </is>
      </c>
      <c r="C28" t="n">
        <v>2</v>
      </c>
      <c r="D28" t="n">
        <v>2</v>
      </c>
      <c r="E28" t="n">
        <v>6</v>
      </c>
      <c r="F28" t="n">
        <v>2.5</v>
      </c>
      <c r="G28" t="n">
        <v>2</v>
      </c>
      <c r="H28" t="n">
        <v>2</v>
      </c>
      <c r="I28" t="n">
        <v>6</v>
      </c>
      <c r="J28" t="n">
        <v>2.5</v>
      </c>
      <c r="K28" t="n">
        <v>2</v>
      </c>
      <c r="L28" t="n">
        <v>3</v>
      </c>
      <c r="M28" t="n">
        <v>2.5</v>
      </c>
      <c r="N28" t="n">
        <v>1</v>
      </c>
      <c r="O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t="n">
        <v>1</v>
      </c>
      <c r="AF28" t="n">
        <v>2</v>
      </c>
      <c r="AG28" t="inlineStr">
        <is>
          <t>alineado</t>
        </is>
      </c>
      <c r="AH28" t="inlineStr">
        <is>
          <t>alineado</t>
        </is>
      </c>
    </row>
    <row r="29">
      <c r="A29" t="inlineStr">
        <is>
          <t>Biomoléculas</t>
        </is>
      </c>
      <c r="B29" t="inlineStr">
        <is>
          <t>alineado</t>
        </is>
      </c>
      <c r="C29" t="n">
        <v>6</v>
      </c>
      <c r="D29" t="n">
        <v>6</v>
      </c>
      <c r="F29" t="n">
        <v>8</v>
      </c>
      <c r="G29" t="n">
        <v>6</v>
      </c>
      <c r="H29" t="n">
        <v>2</v>
      </c>
      <c r="J29" t="n">
        <v>7</v>
      </c>
      <c r="L29" t="n">
        <v>7.5</v>
      </c>
      <c r="M29" t="n">
        <v>7</v>
      </c>
      <c r="O29" t="n">
        <v>1</v>
      </c>
      <c r="P29" t="n">
        <v>1</v>
      </c>
      <c r="Q29" t="n">
        <v>1</v>
      </c>
      <c r="S29" t="n">
        <v>1</v>
      </c>
      <c r="U29" t="n">
        <v>1</v>
      </c>
      <c r="V29" t="n">
        <v>1</v>
      </c>
      <c r="Z29" t="n">
        <v>1</v>
      </c>
      <c r="AF29" t="n">
        <v>6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Biotecnología vegetal y agroindustria</t>
        </is>
      </c>
      <c r="B30" t="inlineStr">
        <is>
          <t>alineado</t>
        </is>
      </c>
      <c r="C30" t="n">
        <v>6</v>
      </c>
      <c r="D30" t="n">
        <v>6</v>
      </c>
      <c r="F30" t="n">
        <v>8</v>
      </c>
      <c r="G30" t="n">
        <v>8.5</v>
      </c>
      <c r="M30" t="n">
        <v>7</v>
      </c>
      <c r="O30" t="n">
        <v>1</v>
      </c>
      <c r="P30" t="n">
        <v>1</v>
      </c>
      <c r="V30" t="n">
        <v>1</v>
      </c>
      <c r="AF30" t="n">
        <v>6</v>
      </c>
      <c r="AG30" t="inlineStr">
        <is>
          <t>sin_referente</t>
        </is>
      </c>
      <c r="AH30" t="inlineStr">
        <is>
          <t>adelantado</t>
        </is>
      </c>
    </row>
    <row r="31">
      <c r="A31" t="inlineStr">
        <is>
          <t>Cadena alimentaria</t>
        </is>
      </c>
      <c r="B31" t="inlineStr">
        <is>
          <t>alineado</t>
        </is>
      </c>
      <c r="C31" t="n">
        <v>4</v>
      </c>
      <c r="D31" t="n">
        <v>4</v>
      </c>
      <c r="E31" t="n">
        <v>3</v>
      </c>
      <c r="F31" t="n">
        <v>2.5</v>
      </c>
      <c r="G31" t="n">
        <v>2</v>
      </c>
      <c r="H31" t="n">
        <v>3</v>
      </c>
      <c r="I31" t="n">
        <v>5</v>
      </c>
      <c r="J31" t="n">
        <v>2.5</v>
      </c>
      <c r="K31" t="n">
        <v>2</v>
      </c>
      <c r="L31" t="n">
        <v>6</v>
      </c>
      <c r="M31" t="n">
        <v>4.5</v>
      </c>
      <c r="N31" t="n">
        <v>1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t="n">
        <v>1</v>
      </c>
      <c r="AF31" t="n">
        <v>4</v>
      </c>
      <c r="AG31" t="inlineStr">
        <is>
          <t>alineado</t>
        </is>
      </c>
      <c r="AH31" t="inlineStr">
        <is>
          <t>alineado</t>
        </is>
      </c>
    </row>
    <row r="32">
      <c r="A32" t="inlineStr">
        <is>
          <t>Cambio climático y seres vivos</t>
        </is>
      </c>
      <c r="B32" t="inlineStr">
        <is>
          <t>alineado</t>
        </is>
      </c>
      <c r="C32" t="n">
        <v>7</v>
      </c>
      <c r="D32" t="n">
        <v>7</v>
      </c>
      <c r="F32" t="n">
        <v>8</v>
      </c>
      <c r="H32" t="n">
        <v>7</v>
      </c>
      <c r="K32" t="n">
        <v>5</v>
      </c>
      <c r="L32" t="n">
        <v>6</v>
      </c>
      <c r="M32" t="n">
        <v>4.5</v>
      </c>
      <c r="O32" t="n">
        <v>1</v>
      </c>
      <c r="Q32" t="n">
        <v>1</v>
      </c>
      <c r="T32" t="n">
        <v>1</v>
      </c>
      <c r="U32" t="n">
        <v>1</v>
      </c>
      <c r="V32" t="n">
        <v>1</v>
      </c>
      <c r="AF32" t="n">
        <v>10</v>
      </c>
      <c r="AG32" t="inlineStr">
        <is>
          <t>alineado</t>
        </is>
      </c>
      <c r="AH32" t="inlineStr">
        <is>
          <t>tardio</t>
        </is>
      </c>
    </row>
    <row r="33">
      <c r="A33" t="inlineStr">
        <is>
          <t>Ciclo de vida de las plantas</t>
        </is>
      </c>
      <c r="B33" t="inlineStr">
        <is>
          <t>alineado</t>
        </is>
      </c>
      <c r="C33" t="n">
        <v>2</v>
      </c>
      <c r="D33" t="n">
        <v>2</v>
      </c>
      <c r="E33" t="n">
        <v>2</v>
      </c>
      <c r="F33" t="n">
        <v>8</v>
      </c>
      <c r="G33" t="n">
        <v>2</v>
      </c>
      <c r="H33" t="n">
        <v>2</v>
      </c>
      <c r="I33" t="n">
        <v>2</v>
      </c>
      <c r="J33" t="n">
        <v>2.5</v>
      </c>
      <c r="K33" t="n">
        <v>2</v>
      </c>
      <c r="L33" t="n">
        <v>3</v>
      </c>
      <c r="M33" t="n">
        <v>2.5</v>
      </c>
      <c r="N33" t="n">
        <v>1</v>
      </c>
      <c r="O33" t="n">
        <v>1</v>
      </c>
      <c r="P33" t="n">
        <v>1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t="n">
        <v>1</v>
      </c>
      <c r="AF33" t="n">
        <v>2</v>
      </c>
      <c r="AG33" t="inlineStr">
        <is>
          <t>alineado</t>
        </is>
      </c>
      <c r="AH33" t="inlineStr">
        <is>
          <t>alineado</t>
        </is>
      </c>
    </row>
    <row r="34">
      <c r="A34" t="inlineStr">
        <is>
          <t>Ciclo de vida de los animales</t>
        </is>
      </c>
      <c r="B34" t="inlineStr">
        <is>
          <t>alineado</t>
        </is>
      </c>
      <c r="C34" t="n">
        <v>3</v>
      </c>
      <c r="D34" t="n">
        <v>3</v>
      </c>
      <c r="E34" t="n">
        <v>2</v>
      </c>
      <c r="F34" t="n">
        <v>8</v>
      </c>
      <c r="G34" t="n">
        <v>2</v>
      </c>
      <c r="H34" t="n">
        <v>2</v>
      </c>
      <c r="I34" t="n">
        <v>2</v>
      </c>
      <c r="J34" t="n">
        <v>2.5</v>
      </c>
      <c r="K34" t="n">
        <v>2</v>
      </c>
      <c r="L34" t="n">
        <v>3</v>
      </c>
      <c r="M34" t="n">
        <v>2.5</v>
      </c>
      <c r="N34" t="n">
        <v>1</v>
      </c>
      <c r="O34" t="n">
        <v>1</v>
      </c>
      <c r="P34" t="n">
        <v>1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t="n">
        <v>1</v>
      </c>
      <c r="AF34" t="n">
        <v>3</v>
      </c>
      <c r="AG34" t="inlineStr">
        <is>
          <t>alineado</t>
        </is>
      </c>
      <c r="AH34" t="inlineStr">
        <is>
          <t>alineado</t>
        </is>
      </c>
    </row>
    <row r="35">
      <c r="A35" t="inlineStr">
        <is>
          <t>Papel de los seres vivos en el ciclo del agua</t>
        </is>
      </c>
      <c r="B35" t="inlineStr">
        <is>
          <t>alineado</t>
        </is>
      </c>
      <c r="C35" t="n">
        <v>3</v>
      </c>
      <c r="D35" t="n">
        <v>3</v>
      </c>
      <c r="G35" t="n">
        <v>8.5</v>
      </c>
      <c r="H35" t="n">
        <v>7</v>
      </c>
      <c r="I35" t="n">
        <v>5</v>
      </c>
      <c r="J35" t="n">
        <v>4.5</v>
      </c>
      <c r="K35" t="n">
        <v>2</v>
      </c>
      <c r="L35" t="n">
        <v>5</v>
      </c>
      <c r="M35" t="n">
        <v>7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t="n">
        <v>1</v>
      </c>
      <c r="AF35" t="n">
        <v>10</v>
      </c>
      <c r="AG35" t="inlineStr">
        <is>
          <t>adelantado</t>
        </is>
      </c>
      <c r="AH35" t="inlineStr">
        <is>
          <t>tardio</t>
        </is>
      </c>
    </row>
    <row r="36">
      <c r="A36" t="inlineStr">
        <is>
          <t>Ciclos del carbono y del oxígeno</t>
        </is>
      </c>
      <c r="B36" t="inlineStr">
        <is>
          <t>alineado</t>
        </is>
      </c>
      <c r="C36" t="n">
        <v>6</v>
      </c>
      <c r="D36" t="n">
        <v>6</v>
      </c>
      <c r="E36" t="n">
        <v>8</v>
      </c>
      <c r="F36" t="n">
        <v>5</v>
      </c>
      <c r="G36" t="n">
        <v>6</v>
      </c>
      <c r="H36" t="n">
        <v>5</v>
      </c>
      <c r="J36" t="n">
        <v>4.5</v>
      </c>
      <c r="K36" t="n">
        <v>2</v>
      </c>
      <c r="L36" t="n">
        <v>7.5</v>
      </c>
      <c r="M36" t="n">
        <v>2.5</v>
      </c>
      <c r="N36" t="n">
        <v>1</v>
      </c>
      <c r="O36" t="n">
        <v>1</v>
      </c>
      <c r="P36" t="n">
        <v>1</v>
      </c>
      <c r="Q36" t="n">
        <v>1</v>
      </c>
      <c r="S36" t="n">
        <v>1</v>
      </c>
      <c r="T36" t="n">
        <v>1</v>
      </c>
      <c r="U36" t="n">
        <v>1</v>
      </c>
      <c r="V36" t="n">
        <v>1</v>
      </c>
      <c r="AF36" t="n">
        <v>8</v>
      </c>
      <c r="AG36" t="inlineStr">
        <is>
          <t>alineado</t>
        </is>
      </c>
      <c r="AH36" t="inlineStr">
        <is>
          <t>tardio</t>
        </is>
      </c>
    </row>
    <row r="37">
      <c r="A37" t="inlineStr">
        <is>
          <t>Circulación e intercambio capilar</t>
        </is>
      </c>
      <c r="B37" t="inlineStr">
        <is>
          <t>alineado</t>
        </is>
      </c>
      <c r="C37" t="n">
        <v>8</v>
      </c>
      <c r="D37" t="n">
        <v>8</v>
      </c>
      <c r="F37" t="n">
        <v>8</v>
      </c>
      <c r="G37" t="n">
        <v>4</v>
      </c>
      <c r="H37" t="n">
        <v>7</v>
      </c>
      <c r="L37" t="n">
        <v>7.5</v>
      </c>
      <c r="O37" t="n">
        <v>1</v>
      </c>
      <c r="P37" t="n">
        <v>1</v>
      </c>
      <c r="Q37" t="n">
        <v>1</v>
      </c>
      <c r="U37" t="n">
        <v>1</v>
      </c>
      <c r="AF37" t="n">
        <v>11</v>
      </c>
      <c r="AG37" t="inlineStr">
        <is>
          <t>alineado</t>
        </is>
      </c>
      <c r="AH37" t="inlineStr">
        <is>
          <t>posterior</t>
        </is>
      </c>
    </row>
    <row r="38">
      <c r="A38" t="inlineStr">
        <is>
          <t>Clasificación de seres vivos por sus rasgos</t>
        </is>
      </c>
      <c r="B38" t="inlineStr">
        <is>
          <t>alineado</t>
        </is>
      </c>
      <c r="C38" t="n">
        <v>2</v>
      </c>
      <c r="D38" t="n">
        <v>2</v>
      </c>
      <c r="E38" t="n">
        <v>2</v>
      </c>
      <c r="F38" t="n">
        <v>2.5</v>
      </c>
      <c r="G38" t="n">
        <v>2</v>
      </c>
      <c r="H38" t="n">
        <v>2</v>
      </c>
      <c r="I38" t="n">
        <v>2</v>
      </c>
      <c r="J38" t="n">
        <v>2.5</v>
      </c>
      <c r="K38" t="n">
        <v>2</v>
      </c>
      <c r="L38" t="n">
        <v>3</v>
      </c>
      <c r="M38" t="n">
        <v>2.5</v>
      </c>
      <c r="N38" t="n">
        <v>1</v>
      </c>
      <c r="O38" t="n">
        <v>1</v>
      </c>
      <c r="P38" t="n">
        <v>1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t="n">
        <v>1</v>
      </c>
      <c r="AF38" t="n">
        <v>2</v>
      </c>
      <c r="AG38" t="inlineStr">
        <is>
          <t>alineado</t>
        </is>
      </c>
      <c r="AH38" t="inlineStr">
        <is>
          <t>alineado</t>
        </is>
      </c>
    </row>
    <row r="39">
      <c r="A39" t="inlineStr">
        <is>
          <t>Clasificación jerárquica y nomenclatura</t>
        </is>
      </c>
      <c r="B39" t="inlineStr">
        <is>
          <t>alineado</t>
        </is>
      </c>
      <c r="C39" t="n">
        <v>7</v>
      </c>
      <c r="D39" t="n">
        <v>7</v>
      </c>
      <c r="F39" t="n">
        <v>5</v>
      </c>
      <c r="G39" t="n">
        <v>8.5</v>
      </c>
      <c r="H39" t="n">
        <v>7</v>
      </c>
      <c r="J39" t="n">
        <v>7</v>
      </c>
      <c r="K39" t="n">
        <v>5</v>
      </c>
      <c r="M39" t="n">
        <v>7</v>
      </c>
      <c r="O39" t="n">
        <v>1</v>
      </c>
      <c r="P39" t="n">
        <v>1</v>
      </c>
      <c r="Q39" t="n">
        <v>1</v>
      </c>
      <c r="S39" t="n">
        <v>1</v>
      </c>
      <c r="T39" t="n">
        <v>1</v>
      </c>
      <c r="V39" t="n">
        <v>1</v>
      </c>
      <c r="AF39" t="n">
        <v>7</v>
      </c>
      <c r="AG39" t="inlineStr">
        <is>
          <t>sin_referente</t>
        </is>
      </c>
      <c r="AH39" t="inlineStr">
        <is>
          <t>alineado</t>
        </is>
      </c>
    </row>
    <row r="40">
      <c r="A40" t="inlineStr">
        <is>
          <t>Competencia por recursos</t>
        </is>
      </c>
      <c r="B40" t="inlineStr">
        <is>
          <t>alineado</t>
        </is>
      </c>
      <c r="C40" t="n">
        <v>4</v>
      </c>
      <c r="D40" t="n">
        <v>4</v>
      </c>
      <c r="F40" t="n">
        <v>8</v>
      </c>
      <c r="G40" t="n">
        <v>2</v>
      </c>
      <c r="H40" t="n">
        <v>3</v>
      </c>
      <c r="I40" t="n">
        <v>5</v>
      </c>
      <c r="K40" t="n">
        <v>3</v>
      </c>
      <c r="M40" t="n">
        <v>4.5</v>
      </c>
      <c r="O40" t="n">
        <v>1</v>
      </c>
      <c r="P40" t="n">
        <v>1</v>
      </c>
      <c r="Q40" t="n">
        <v>1</v>
      </c>
      <c r="R40" t="n">
        <v>1</v>
      </c>
      <c r="T40" t="n">
        <v>1</v>
      </c>
      <c r="V40" t="n">
        <v>1</v>
      </c>
      <c r="AF40" t="n">
        <v>5</v>
      </c>
      <c r="AG40" t="inlineStr">
        <is>
          <t>alineado</t>
        </is>
      </c>
      <c r="AH40" t="inlineStr">
        <is>
          <t>alineado</t>
        </is>
      </c>
    </row>
    <row r="41">
      <c r="A41" t="inlineStr">
        <is>
          <t>Concepto de especie</t>
        </is>
      </c>
      <c r="B41" t="inlineStr">
        <is>
          <t>alineado</t>
        </is>
      </c>
      <c r="C41" t="n">
        <v>7</v>
      </c>
      <c r="D41" t="n">
        <v>7</v>
      </c>
      <c r="F41" t="n">
        <v>2.5</v>
      </c>
      <c r="G41" t="n">
        <v>6</v>
      </c>
      <c r="J41" t="n">
        <v>7</v>
      </c>
      <c r="L41" t="n">
        <v>6</v>
      </c>
      <c r="M41" t="n">
        <v>4.5</v>
      </c>
      <c r="O41" t="n">
        <v>1</v>
      </c>
      <c r="P41" t="n">
        <v>1</v>
      </c>
      <c r="S41" t="n">
        <v>1</v>
      </c>
      <c r="U41" t="n">
        <v>1</v>
      </c>
      <c r="V41" t="n">
        <v>1</v>
      </c>
      <c r="AF41" t="n">
        <v>7</v>
      </c>
      <c r="AG41" t="inlineStr">
        <is>
          <t>alineado</t>
        </is>
      </c>
      <c r="AH41" t="inlineStr">
        <is>
          <t>alineado</t>
        </is>
      </c>
    </row>
    <row r="42">
      <c r="A42" t="inlineStr">
        <is>
          <t>Contagio y prevención de enfermedades</t>
        </is>
      </c>
      <c r="B42" t="inlineStr">
        <is>
          <t>alineado</t>
        </is>
      </c>
      <c r="C42" t="n">
        <v>2</v>
      </c>
      <c r="D42" t="n">
        <v>2</v>
      </c>
      <c r="F42" t="n">
        <v>8</v>
      </c>
      <c r="G42" t="n">
        <v>2</v>
      </c>
      <c r="H42" t="n">
        <v>3</v>
      </c>
      <c r="J42" t="n">
        <v>2.5</v>
      </c>
      <c r="O42" t="n">
        <v>1</v>
      </c>
      <c r="P42" t="n">
        <v>1</v>
      </c>
      <c r="Q42" t="n">
        <v>1</v>
      </c>
      <c r="S42" t="n">
        <v>1</v>
      </c>
      <c r="Z42" t="n">
        <v>1</v>
      </c>
      <c r="AF42" t="n">
        <v>2</v>
      </c>
      <c r="AG42" t="inlineStr">
        <is>
          <t>alineado</t>
        </is>
      </c>
      <c r="AH42" t="inlineStr">
        <is>
          <t>alineado</t>
        </is>
      </c>
    </row>
    <row r="43">
      <c r="A43" t="inlineStr">
        <is>
          <t>Contaminación y sus efectos en los seres vivos</t>
        </is>
      </c>
      <c r="B43" t="inlineStr">
        <is>
          <t>alineado</t>
        </is>
      </c>
      <c r="C43" t="n">
        <v>2</v>
      </c>
      <c r="D43" t="n">
        <v>2</v>
      </c>
      <c r="F43" t="n">
        <v>5</v>
      </c>
      <c r="H43" t="n">
        <v>2</v>
      </c>
      <c r="J43" t="n">
        <v>2.5</v>
      </c>
      <c r="K43" t="n">
        <v>4</v>
      </c>
      <c r="L43" t="n">
        <v>6</v>
      </c>
      <c r="M43" t="n">
        <v>2.5</v>
      </c>
      <c r="O43" t="n">
        <v>1</v>
      </c>
      <c r="Q43" t="n">
        <v>1</v>
      </c>
      <c r="S43" t="n">
        <v>1</v>
      </c>
      <c r="T43" t="n">
        <v>1</v>
      </c>
      <c r="U43" t="n">
        <v>1</v>
      </c>
      <c r="V43" t="n">
        <v>1</v>
      </c>
      <c r="Z43" t="n">
        <v>1</v>
      </c>
      <c r="AF43" t="n">
        <v>2</v>
      </c>
      <c r="AG43" t="inlineStr">
        <is>
          <t>adelantado</t>
        </is>
      </c>
      <c r="AH43" t="inlineStr">
        <is>
          <t>alineado</t>
        </is>
      </c>
    </row>
    <row r="44">
      <c r="A44" t="inlineStr">
        <is>
          <t>Crecimiento poblacional</t>
        </is>
      </c>
      <c r="B44" t="inlineStr">
        <is>
          <t>alineado</t>
        </is>
      </c>
      <c r="C44" t="n">
        <v>7</v>
      </c>
      <c r="D44" t="n">
        <v>7</v>
      </c>
      <c r="F44" t="n">
        <v>8</v>
      </c>
      <c r="H44" t="n">
        <v>7</v>
      </c>
      <c r="L44" t="n">
        <v>7.5</v>
      </c>
      <c r="M44" t="n">
        <v>7</v>
      </c>
      <c r="O44" t="n">
        <v>1</v>
      </c>
      <c r="Q44" t="n">
        <v>1</v>
      </c>
      <c r="U44" t="n">
        <v>1</v>
      </c>
      <c r="V44" t="n">
        <v>1</v>
      </c>
      <c r="AF44" t="n">
        <v>7</v>
      </c>
      <c r="AG44" t="inlineStr">
        <is>
          <t>alineado</t>
        </is>
      </c>
      <c r="AH44" t="inlineStr">
        <is>
          <t>alineado</t>
        </is>
      </c>
    </row>
    <row r="45">
      <c r="A45" t="inlineStr">
        <is>
          <t>Depredación</t>
        </is>
      </c>
      <c r="B45" t="inlineStr">
        <is>
          <t>alineado</t>
        </is>
      </c>
      <c r="C45" t="n">
        <v>5</v>
      </c>
      <c r="D45" t="n">
        <v>5</v>
      </c>
      <c r="F45" t="n">
        <v>2.5</v>
      </c>
      <c r="G45" t="n">
        <v>2</v>
      </c>
      <c r="H45" t="n">
        <v>3</v>
      </c>
      <c r="I45" t="n">
        <v>5</v>
      </c>
      <c r="K45" t="n">
        <v>5</v>
      </c>
      <c r="L45" t="n">
        <v>6</v>
      </c>
      <c r="O45" t="n">
        <v>1</v>
      </c>
      <c r="P45" t="n">
        <v>1</v>
      </c>
      <c r="Q45" t="n">
        <v>1</v>
      </c>
      <c r="R45" t="n">
        <v>1</v>
      </c>
      <c r="T45" t="n">
        <v>1</v>
      </c>
      <c r="U45" t="n">
        <v>1</v>
      </c>
      <c r="AF45" t="n">
        <v>5</v>
      </c>
      <c r="AG45" t="inlineStr">
        <is>
          <t>alineado</t>
        </is>
      </c>
      <c r="AH45" t="inlineStr">
        <is>
          <t>alineado</t>
        </is>
      </c>
    </row>
    <row r="46">
      <c r="A46" t="inlineStr">
        <is>
          <t>Diferenciación y especialización celular</t>
        </is>
      </c>
      <c r="B46" t="inlineStr">
        <is>
          <t>alineado</t>
        </is>
      </c>
      <c r="C46" t="n">
        <v>6</v>
      </c>
      <c r="D46" t="n">
        <v>6</v>
      </c>
      <c r="E46" t="n">
        <v>7</v>
      </c>
      <c r="G46" t="n">
        <v>6</v>
      </c>
      <c r="H46" t="n">
        <v>7</v>
      </c>
      <c r="K46" t="n">
        <v>7</v>
      </c>
      <c r="L46" t="n">
        <v>7.5</v>
      </c>
      <c r="N46" t="n">
        <v>1</v>
      </c>
      <c r="P46" t="n">
        <v>1</v>
      </c>
      <c r="Q46" t="n">
        <v>1</v>
      </c>
      <c r="T46" t="n">
        <v>1</v>
      </c>
      <c r="U46" t="n">
        <v>1</v>
      </c>
      <c r="Z46" t="n">
        <v>1</v>
      </c>
      <c r="AF46" t="n">
        <v>6</v>
      </c>
      <c r="AG46" t="inlineStr">
        <is>
          <t>adelantado</t>
        </is>
      </c>
      <c r="AH46" t="inlineStr">
        <is>
          <t>alineado</t>
        </is>
      </c>
    </row>
    <row r="47">
      <c r="A47" t="inlineStr">
        <is>
          <t>Difusión y ósmosis</t>
        </is>
      </c>
      <c r="B47" t="inlineStr">
        <is>
          <t>alineado</t>
        </is>
      </c>
      <c r="C47" t="n">
        <v>6</v>
      </c>
      <c r="D47" t="n">
        <v>6</v>
      </c>
      <c r="G47" t="n">
        <v>6</v>
      </c>
      <c r="K47" t="n">
        <v>7</v>
      </c>
      <c r="L47" t="n">
        <v>7.5</v>
      </c>
      <c r="P47" t="n">
        <v>1</v>
      </c>
      <c r="T47" t="n">
        <v>1</v>
      </c>
      <c r="U47" t="n">
        <v>1</v>
      </c>
      <c r="Z47" t="n">
        <v>1</v>
      </c>
      <c r="AF47" t="n">
        <v>6</v>
      </c>
      <c r="AG47" t="inlineStr">
        <is>
          <t>alineado</t>
        </is>
      </c>
      <c r="AH47" t="inlineStr">
        <is>
          <t>alineado</t>
        </is>
      </c>
    </row>
    <row r="48">
      <c r="A48" t="inlineStr">
        <is>
          <t>Digestión química y absorción de nutrientes</t>
        </is>
      </c>
      <c r="B48" t="inlineStr">
        <is>
          <t>alineado</t>
        </is>
      </c>
      <c r="C48" t="n">
        <v>8</v>
      </c>
      <c r="D48" t="n">
        <v>8</v>
      </c>
      <c r="F48" t="n">
        <v>8</v>
      </c>
      <c r="G48" t="n">
        <v>4</v>
      </c>
      <c r="I48" t="n">
        <v>5</v>
      </c>
      <c r="J48" t="n">
        <v>7</v>
      </c>
      <c r="L48" t="n">
        <v>7.5</v>
      </c>
      <c r="M48" t="n">
        <v>7</v>
      </c>
      <c r="O48" t="n">
        <v>1</v>
      </c>
      <c r="P48" t="n">
        <v>1</v>
      </c>
      <c r="R48" t="n">
        <v>1</v>
      </c>
      <c r="S48" t="n">
        <v>1</v>
      </c>
      <c r="U48" t="n">
        <v>1</v>
      </c>
      <c r="V48" t="n">
        <v>1</v>
      </c>
      <c r="Z48" t="n">
        <v>1</v>
      </c>
      <c r="AF48" t="n">
        <v>8</v>
      </c>
      <c r="AG48" t="inlineStr">
        <is>
          <t>alineado</t>
        </is>
      </c>
      <c r="AH48" t="inlineStr">
        <is>
          <t>alineado</t>
        </is>
      </c>
    </row>
    <row r="49">
      <c r="A49" t="inlineStr">
        <is>
          <t>Diversidad genética de poblaciones</t>
        </is>
      </c>
      <c r="B49" t="inlineStr">
        <is>
          <t>alineado</t>
        </is>
      </c>
      <c r="C49" t="n">
        <v>7</v>
      </c>
      <c r="D49" t="n">
        <v>7</v>
      </c>
      <c r="G49" t="n">
        <v>6</v>
      </c>
      <c r="J49" t="n">
        <v>7</v>
      </c>
      <c r="K49" t="n">
        <v>5</v>
      </c>
      <c r="P49" t="n">
        <v>1</v>
      </c>
      <c r="S49" t="n">
        <v>1</v>
      </c>
      <c r="T49" t="n">
        <v>1</v>
      </c>
      <c r="AF49" t="n">
        <v>7</v>
      </c>
      <c r="AG49" t="inlineStr">
        <is>
          <t>sin_referente</t>
        </is>
      </c>
      <c r="AH49" t="inlineStr">
        <is>
          <t>alineado</t>
        </is>
      </c>
    </row>
    <row r="50">
      <c r="A50" t="inlineStr">
        <is>
          <t>Enzimas</t>
        </is>
      </c>
      <c r="B50" t="inlineStr">
        <is>
          <t>alineado</t>
        </is>
      </c>
      <c r="C50" t="n">
        <v>6</v>
      </c>
      <c r="D50" t="n">
        <v>6</v>
      </c>
      <c r="G50" t="n">
        <v>6</v>
      </c>
      <c r="J50" t="n">
        <v>7</v>
      </c>
      <c r="L50" t="n">
        <v>7.5</v>
      </c>
      <c r="M50" t="n">
        <v>7</v>
      </c>
      <c r="P50" t="n">
        <v>1</v>
      </c>
      <c r="S50" t="n">
        <v>1</v>
      </c>
      <c r="U50" t="n">
        <v>1</v>
      </c>
      <c r="V50" t="n">
        <v>1</v>
      </c>
      <c r="Z50" t="n">
        <v>1</v>
      </c>
      <c r="AF50" t="n">
        <v>6</v>
      </c>
      <c r="AG50" t="inlineStr">
        <is>
          <t>adelantado</t>
        </is>
      </c>
      <c r="AH50" t="inlineStr">
        <is>
          <t>alineado</t>
        </is>
      </c>
    </row>
    <row r="51">
      <c r="A51" t="inlineStr">
        <is>
          <t>Estructuras del cuerpo animal y su función</t>
        </is>
      </c>
      <c r="B51" t="inlineStr">
        <is>
          <t>alineado</t>
        </is>
      </c>
      <c r="C51" t="n">
        <v>2</v>
      </c>
      <c r="D51" t="n">
        <v>2</v>
      </c>
      <c r="E51" t="n">
        <v>2</v>
      </c>
      <c r="F51" t="n">
        <v>2.5</v>
      </c>
      <c r="G51" t="n">
        <v>2</v>
      </c>
      <c r="H51" t="n">
        <v>2</v>
      </c>
      <c r="I51" t="n">
        <v>3</v>
      </c>
      <c r="J51" t="n">
        <v>2.5</v>
      </c>
      <c r="K51" t="n">
        <v>2</v>
      </c>
      <c r="L51" t="n">
        <v>4</v>
      </c>
      <c r="M51" t="n">
        <v>2.5</v>
      </c>
      <c r="N51" t="n">
        <v>1</v>
      </c>
      <c r="O51" t="n">
        <v>1</v>
      </c>
      <c r="P51" t="n">
        <v>1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t="n">
        <v>1</v>
      </c>
      <c r="Z51" t="n">
        <v>1</v>
      </c>
      <c r="AF51" t="n">
        <v>2</v>
      </c>
      <c r="AG51" t="inlineStr">
        <is>
          <t>alineado</t>
        </is>
      </c>
      <c r="AH51" t="inlineStr">
        <is>
          <t>alineado</t>
        </is>
      </c>
    </row>
    <row r="52">
      <c r="A52" t="inlineStr">
        <is>
          <t>Extinción de especies</t>
        </is>
      </c>
      <c r="B52" t="inlineStr">
        <is>
          <t>alineado</t>
        </is>
      </c>
      <c r="C52" t="n">
        <v>5</v>
      </c>
      <c r="D52" t="n">
        <v>5</v>
      </c>
      <c r="F52" t="n">
        <v>8</v>
      </c>
      <c r="G52" t="n">
        <v>2</v>
      </c>
      <c r="H52" t="n">
        <v>5</v>
      </c>
      <c r="K52" t="n">
        <v>3</v>
      </c>
      <c r="L52" t="n">
        <v>6</v>
      </c>
      <c r="M52" t="n">
        <v>4.5</v>
      </c>
      <c r="O52" t="n">
        <v>1</v>
      </c>
      <c r="P52" t="n">
        <v>1</v>
      </c>
      <c r="Q52" t="n">
        <v>1</v>
      </c>
      <c r="T52" t="n">
        <v>1</v>
      </c>
      <c r="U52" t="n">
        <v>1</v>
      </c>
      <c r="V52" t="n">
        <v>1</v>
      </c>
      <c r="AF52" t="n">
        <v>5</v>
      </c>
      <c r="AG52" t="inlineStr">
        <is>
          <t>alineado</t>
        </is>
      </c>
      <c r="AH52" t="inlineStr">
        <is>
          <t>alineado</t>
        </is>
      </c>
    </row>
    <row r="53">
      <c r="A53" t="inlineStr">
        <is>
          <t>Factores bióticos y abióticos</t>
        </is>
      </c>
      <c r="B53" t="inlineStr">
        <is>
          <t>alineado</t>
        </is>
      </c>
      <c r="C53" t="n">
        <v>2</v>
      </c>
      <c r="D53" t="n">
        <v>2</v>
      </c>
      <c r="E53" t="n">
        <v>5</v>
      </c>
      <c r="F53" t="n">
        <v>5</v>
      </c>
      <c r="G53" t="n">
        <v>2</v>
      </c>
      <c r="H53" t="n">
        <v>2</v>
      </c>
      <c r="I53" t="n">
        <v>5</v>
      </c>
      <c r="J53" t="n">
        <v>2.5</v>
      </c>
      <c r="K53" t="n">
        <v>2</v>
      </c>
      <c r="L53" t="n">
        <v>4.5</v>
      </c>
      <c r="M53" t="n">
        <v>2.5</v>
      </c>
      <c r="N53" t="n">
        <v>1</v>
      </c>
      <c r="O53" t="n">
        <v>1</v>
      </c>
      <c r="P53" t="n">
        <v>1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t="n">
        <v>1</v>
      </c>
      <c r="AF53" t="n">
        <v>4</v>
      </c>
      <c r="AG53" t="inlineStr">
        <is>
          <t>alineado</t>
        </is>
      </c>
      <c r="AH53" t="inlineStr">
        <is>
          <t>tardio</t>
        </is>
      </c>
    </row>
    <row r="54">
      <c r="A54" t="inlineStr">
        <is>
          <t>Factores limitantes de las poblaciones</t>
        </is>
      </c>
      <c r="B54" t="inlineStr">
        <is>
          <t>alineado</t>
        </is>
      </c>
      <c r="C54" t="n">
        <v>7</v>
      </c>
      <c r="D54" t="n">
        <v>7</v>
      </c>
      <c r="E54" t="n">
        <v>6</v>
      </c>
      <c r="F54" t="n">
        <v>8</v>
      </c>
      <c r="G54" t="n">
        <v>8.5</v>
      </c>
      <c r="K54" t="n">
        <v>3</v>
      </c>
      <c r="L54" t="n">
        <v>6</v>
      </c>
      <c r="M54" t="n">
        <v>7</v>
      </c>
      <c r="N54" t="n">
        <v>1</v>
      </c>
      <c r="O54" t="n">
        <v>1</v>
      </c>
      <c r="P54" t="n">
        <v>1</v>
      </c>
      <c r="T54" t="n">
        <v>1</v>
      </c>
      <c r="U54" t="n">
        <v>1</v>
      </c>
      <c r="V54" t="n">
        <v>1</v>
      </c>
      <c r="AF54" t="n">
        <v>11</v>
      </c>
      <c r="AG54" t="inlineStr">
        <is>
          <t>sin_referente</t>
        </is>
      </c>
      <c r="AH54" t="inlineStr">
        <is>
          <t>tardio</t>
        </is>
      </c>
    </row>
    <row r="55">
      <c r="A55" t="inlineStr">
        <is>
          <t>Fecundación y desarrollo embrionario</t>
        </is>
      </c>
      <c r="B55" t="inlineStr">
        <is>
          <t>alineado</t>
        </is>
      </c>
      <c r="C55" t="n">
        <v>6</v>
      </c>
      <c r="D55" t="n">
        <v>6</v>
      </c>
      <c r="F55" t="n">
        <v>8</v>
      </c>
      <c r="G55" t="n">
        <v>6</v>
      </c>
      <c r="H55" t="n">
        <v>7</v>
      </c>
      <c r="I55" t="n">
        <v>4</v>
      </c>
      <c r="J55" t="n">
        <v>7</v>
      </c>
      <c r="L55" t="n">
        <v>5</v>
      </c>
      <c r="O55" t="n">
        <v>1</v>
      </c>
      <c r="P55" t="n">
        <v>1</v>
      </c>
      <c r="Q55" t="n">
        <v>1</v>
      </c>
      <c r="R55" t="n">
        <v>1</v>
      </c>
      <c r="S55" t="n">
        <v>1</v>
      </c>
      <c r="U55" t="n">
        <v>1</v>
      </c>
      <c r="Z55" t="n">
        <v>1</v>
      </c>
      <c r="AF55" t="n">
        <v>6</v>
      </c>
      <c r="AG55" t="inlineStr">
        <is>
          <t>alineado</t>
        </is>
      </c>
      <c r="AH55" t="inlineStr">
        <is>
          <t>alineado</t>
        </is>
      </c>
    </row>
    <row r="56">
      <c r="A56" t="inlineStr">
        <is>
          <t>Flujo de energía y pirámides ecológicas</t>
        </is>
      </c>
      <c r="B56" t="inlineStr">
        <is>
          <t>alineado</t>
        </is>
      </c>
      <c r="C56" t="n">
        <v>5</v>
      </c>
      <c r="D56" t="n">
        <v>5</v>
      </c>
      <c r="E56" t="n">
        <v>6</v>
      </c>
      <c r="G56" t="n">
        <v>8.5</v>
      </c>
      <c r="H56" t="n">
        <v>5</v>
      </c>
      <c r="K56" t="n">
        <v>6</v>
      </c>
      <c r="L56" t="n">
        <v>6</v>
      </c>
      <c r="M56" t="n">
        <v>4.5</v>
      </c>
      <c r="N56" t="n">
        <v>1</v>
      </c>
      <c r="P56" t="n">
        <v>1</v>
      </c>
      <c r="Q56" t="n">
        <v>1</v>
      </c>
      <c r="T56" t="n">
        <v>1</v>
      </c>
      <c r="U56" t="n">
        <v>1</v>
      </c>
      <c r="V56" t="n">
        <v>1</v>
      </c>
      <c r="AF56" t="n">
        <v>5</v>
      </c>
      <c r="AG56" t="inlineStr">
        <is>
          <t>alineado</t>
        </is>
      </c>
      <c r="AH56" t="inlineStr">
        <is>
          <t>alineado</t>
        </is>
      </c>
    </row>
    <row r="57">
      <c r="A57" t="inlineStr">
        <is>
          <t>Fotosíntesis</t>
        </is>
      </c>
      <c r="B57" t="inlineStr">
        <is>
          <t>alineado</t>
        </is>
      </c>
      <c r="C57" t="n">
        <v>6</v>
      </c>
      <c r="D57" t="n">
        <v>6</v>
      </c>
      <c r="E57" t="n">
        <v>8</v>
      </c>
      <c r="F57" t="n">
        <v>5</v>
      </c>
      <c r="G57" t="n">
        <v>6</v>
      </c>
      <c r="H57" t="n">
        <v>2</v>
      </c>
      <c r="I57" t="n">
        <v>4</v>
      </c>
      <c r="J57" t="n">
        <v>4.5</v>
      </c>
      <c r="K57" t="n">
        <v>2</v>
      </c>
      <c r="L57" t="n">
        <v>6</v>
      </c>
      <c r="M57" t="n">
        <v>4.5</v>
      </c>
      <c r="N57" t="n">
        <v>1</v>
      </c>
      <c r="O57" t="n">
        <v>1</v>
      </c>
      <c r="P57" t="n">
        <v>1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t="n">
        <v>1</v>
      </c>
      <c r="AF57" t="n">
        <v>6</v>
      </c>
      <c r="AG57" t="inlineStr">
        <is>
          <t>alineado</t>
        </is>
      </c>
      <c r="AH57" t="inlineStr">
        <is>
          <t>tardio</t>
        </is>
      </c>
    </row>
    <row r="58">
      <c r="A58" t="inlineStr">
        <is>
          <t>Genes y alelos</t>
        </is>
      </c>
      <c r="B58" t="inlineStr">
        <is>
          <t>alineado</t>
        </is>
      </c>
      <c r="C58" t="n">
        <v>6</v>
      </c>
      <c r="D58" t="n">
        <v>6</v>
      </c>
      <c r="F58" t="n">
        <v>8</v>
      </c>
      <c r="G58" t="n">
        <v>6</v>
      </c>
      <c r="H58" t="n">
        <v>7</v>
      </c>
      <c r="I58" t="n">
        <v>8</v>
      </c>
      <c r="J58" t="n">
        <v>7</v>
      </c>
      <c r="O58" t="n">
        <v>1</v>
      </c>
      <c r="P58" t="n">
        <v>1</v>
      </c>
      <c r="Q58" t="n">
        <v>1</v>
      </c>
      <c r="R58" t="n">
        <v>1</v>
      </c>
      <c r="S58" t="n">
        <v>1</v>
      </c>
      <c r="Z58" t="n">
        <v>1</v>
      </c>
      <c r="AF58" t="n">
        <v>7</v>
      </c>
      <c r="AG58" t="inlineStr">
        <is>
          <t>sin_referente</t>
        </is>
      </c>
      <c r="AH58" t="inlineStr">
        <is>
          <t>alineado</t>
        </is>
      </c>
    </row>
    <row r="59">
      <c r="A59" t="inlineStr">
        <is>
          <t>Genética humana y enfermedades hereditarias</t>
        </is>
      </c>
      <c r="B59" t="inlineStr">
        <is>
          <t>alineado</t>
        </is>
      </c>
      <c r="C59" t="n">
        <v>9</v>
      </c>
      <c r="F59" t="n">
        <v>8</v>
      </c>
      <c r="G59" t="n">
        <v>8.5</v>
      </c>
      <c r="H59" t="n">
        <v>7</v>
      </c>
      <c r="J59" t="n">
        <v>7</v>
      </c>
      <c r="M59" t="n">
        <v>7</v>
      </c>
      <c r="O59" t="n">
        <v>1</v>
      </c>
      <c r="P59" t="n">
        <v>1</v>
      </c>
      <c r="Q59" t="n">
        <v>1</v>
      </c>
      <c r="S59" t="n">
        <v>1</v>
      </c>
      <c r="V59" t="n">
        <v>1</v>
      </c>
      <c r="Z59" t="n">
        <v>1</v>
      </c>
      <c r="AF59" t="n">
        <v>9</v>
      </c>
      <c r="AG59" t="inlineStr">
        <is>
          <t>alineado</t>
        </is>
      </c>
      <c r="AH59" t="inlineStr">
        <is>
          <t>alineado</t>
        </is>
      </c>
    </row>
    <row r="60">
      <c r="A60" t="inlineStr">
        <is>
          <t>Genotipo y fenotipo</t>
        </is>
      </c>
      <c r="B60" t="inlineStr">
        <is>
          <t>alineado</t>
        </is>
      </c>
      <c r="C60" t="n">
        <v>7</v>
      </c>
      <c r="D60" t="n">
        <v>7</v>
      </c>
      <c r="F60" t="n">
        <v>8</v>
      </c>
      <c r="G60" t="n">
        <v>6</v>
      </c>
      <c r="H60" t="n">
        <v>3</v>
      </c>
      <c r="I60" t="n">
        <v>8</v>
      </c>
      <c r="J60" t="n">
        <v>7</v>
      </c>
      <c r="M60" t="n">
        <v>7</v>
      </c>
      <c r="O60" t="n">
        <v>1</v>
      </c>
      <c r="P60" t="n">
        <v>1</v>
      </c>
      <c r="Q60" t="n">
        <v>1</v>
      </c>
      <c r="R60" t="n">
        <v>1</v>
      </c>
      <c r="S60" t="n">
        <v>1</v>
      </c>
      <c r="V60" t="n">
        <v>1</v>
      </c>
      <c r="Z60" t="n">
        <v>1</v>
      </c>
      <c r="AF60" t="n">
        <v>7</v>
      </c>
      <c r="AG60" t="inlineStr">
        <is>
          <t>alineado</t>
        </is>
      </c>
      <c r="AH60" t="inlineStr">
        <is>
          <t>alineado</t>
        </is>
      </c>
    </row>
    <row r="61">
      <c r="A61" t="inlineStr">
        <is>
          <t>Grupos de alimentos y dieta balanceada</t>
        </is>
      </c>
      <c r="B61" t="inlineStr">
        <is>
          <t>alineado</t>
        </is>
      </c>
      <c r="C61" t="n">
        <v>2</v>
      </c>
      <c r="D61" t="n">
        <v>2</v>
      </c>
      <c r="F61" t="n">
        <v>8</v>
      </c>
      <c r="G61" t="n">
        <v>2</v>
      </c>
      <c r="H61" t="n">
        <v>2</v>
      </c>
      <c r="K61" t="n">
        <v>4</v>
      </c>
      <c r="L61" t="n">
        <v>7.5</v>
      </c>
      <c r="M61" t="n">
        <v>2.5</v>
      </c>
      <c r="O61" t="n">
        <v>1</v>
      </c>
      <c r="P61" t="n">
        <v>1</v>
      </c>
      <c r="Q61" t="n">
        <v>1</v>
      </c>
      <c r="T61" t="n">
        <v>1</v>
      </c>
      <c r="U61" t="n">
        <v>1</v>
      </c>
      <c r="V61" t="n">
        <v>1</v>
      </c>
      <c r="Z61" t="n">
        <v>1</v>
      </c>
      <c r="AF61" t="n">
        <v>2</v>
      </c>
      <c r="AG61" t="inlineStr">
        <is>
          <t>adelantado</t>
        </is>
      </c>
      <c r="AH61" t="inlineStr">
        <is>
          <t>alineado</t>
        </is>
      </c>
    </row>
    <row r="62">
      <c r="A62" t="inlineStr">
        <is>
          <t>Grupos de vertebrados</t>
        </is>
      </c>
      <c r="B62" t="inlineStr">
        <is>
          <t>alineado</t>
        </is>
      </c>
      <c r="C62" t="n">
        <v>2</v>
      </c>
      <c r="D62" t="n">
        <v>2</v>
      </c>
      <c r="F62" t="n">
        <v>2.5</v>
      </c>
      <c r="G62" t="n">
        <v>2</v>
      </c>
      <c r="H62" t="n">
        <v>2</v>
      </c>
      <c r="I62" t="n">
        <v>4</v>
      </c>
      <c r="K62" t="n">
        <v>2</v>
      </c>
      <c r="M62" t="n">
        <v>2.5</v>
      </c>
      <c r="O62" t="n">
        <v>1</v>
      </c>
      <c r="P62" t="n">
        <v>1</v>
      </c>
      <c r="Q62" t="n">
        <v>1</v>
      </c>
      <c r="R62" t="n">
        <v>1</v>
      </c>
      <c r="T62" t="n">
        <v>1</v>
      </c>
      <c r="V62" t="n">
        <v>1</v>
      </c>
      <c r="AF62" t="n">
        <v>2</v>
      </c>
      <c r="AG62" t="inlineStr">
        <is>
          <t>adelantado</t>
        </is>
      </c>
      <c r="AH62" t="inlineStr">
        <is>
          <t>alineado</t>
        </is>
      </c>
    </row>
    <row r="63">
      <c r="A63" t="inlineStr">
        <is>
          <t>Hábitat y ecosistemas comunes</t>
        </is>
      </c>
      <c r="B63" t="inlineStr">
        <is>
          <t>alineado</t>
        </is>
      </c>
      <c r="C63" t="n">
        <v>2</v>
      </c>
      <c r="D63" t="n">
        <v>2</v>
      </c>
      <c r="E63" t="n">
        <v>2</v>
      </c>
      <c r="F63" t="n">
        <v>2.5</v>
      </c>
      <c r="G63" t="n">
        <v>2</v>
      </c>
      <c r="H63" t="n">
        <v>2</v>
      </c>
      <c r="I63" t="n">
        <v>2</v>
      </c>
      <c r="J63" t="n">
        <v>2.5</v>
      </c>
      <c r="K63" t="n">
        <v>2</v>
      </c>
      <c r="L63" t="n">
        <v>6</v>
      </c>
      <c r="M63" t="n">
        <v>2.5</v>
      </c>
      <c r="N63" t="n">
        <v>1</v>
      </c>
      <c r="O63" t="n">
        <v>1</v>
      </c>
      <c r="P63" t="n">
        <v>1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t="n">
        <v>1</v>
      </c>
      <c r="AF63" t="n">
        <v>2</v>
      </c>
      <c r="AG63" t="inlineStr">
        <is>
          <t>alineado</t>
        </is>
      </c>
      <c r="AH63" t="inlineStr">
        <is>
          <t>alineado</t>
        </is>
      </c>
    </row>
    <row r="64">
      <c r="A64" t="inlineStr">
        <is>
          <t>Hábitos de vida saludable</t>
        </is>
      </c>
      <c r="B64" t="inlineStr">
        <is>
          <t>alineado</t>
        </is>
      </c>
      <c r="C64" t="n">
        <v>2</v>
      </c>
      <c r="D64" t="n">
        <v>2</v>
      </c>
      <c r="F64" t="n">
        <v>2.5</v>
      </c>
      <c r="G64" t="n">
        <v>2</v>
      </c>
      <c r="H64" t="n">
        <v>2</v>
      </c>
      <c r="J64" t="n">
        <v>2.5</v>
      </c>
      <c r="K64" t="n">
        <v>4</v>
      </c>
      <c r="L64" t="n">
        <v>7.5</v>
      </c>
      <c r="O64" t="n">
        <v>1</v>
      </c>
      <c r="P64" t="n">
        <v>1</v>
      </c>
      <c r="Q64" t="n">
        <v>1</v>
      </c>
      <c r="S64" t="n">
        <v>1</v>
      </c>
      <c r="T64" t="n">
        <v>1</v>
      </c>
      <c r="U64" t="n">
        <v>1</v>
      </c>
      <c r="Z64" t="n">
        <v>1</v>
      </c>
      <c r="AF64" t="n">
        <v>2</v>
      </c>
      <c r="AG64" t="inlineStr">
        <is>
          <t>alineado</t>
        </is>
      </c>
      <c r="AH64" t="inlineStr">
        <is>
          <t>alineado</t>
        </is>
      </c>
    </row>
    <row r="65">
      <c r="A65" t="inlineStr">
        <is>
          <t>Herencia mendeliana</t>
        </is>
      </c>
      <c r="B65" t="inlineStr">
        <is>
          <t>alineado</t>
        </is>
      </c>
      <c r="C65" t="n">
        <v>7</v>
      </c>
      <c r="D65" t="n">
        <v>7</v>
      </c>
      <c r="F65" t="n">
        <v>8</v>
      </c>
      <c r="G65" t="n">
        <v>8.5</v>
      </c>
      <c r="H65" t="n">
        <v>7</v>
      </c>
      <c r="I65" t="n">
        <v>8</v>
      </c>
      <c r="J65" t="n">
        <v>7</v>
      </c>
      <c r="M65" t="n">
        <v>7</v>
      </c>
      <c r="O65" t="n">
        <v>1</v>
      </c>
      <c r="P65" t="n">
        <v>1</v>
      </c>
      <c r="Q65" t="n">
        <v>1</v>
      </c>
      <c r="R65" t="n">
        <v>1</v>
      </c>
      <c r="S65" t="n">
        <v>1</v>
      </c>
      <c r="V65" t="n">
        <v>1</v>
      </c>
      <c r="AF65" t="n">
        <v>7</v>
      </c>
      <c r="AG65" t="inlineStr">
        <is>
          <t>alineado</t>
        </is>
      </c>
      <c r="AH65" t="inlineStr">
        <is>
          <t>alineado</t>
        </is>
      </c>
    </row>
    <row r="66">
      <c r="A66" t="inlineStr">
        <is>
          <t>Herencia ligada al sexo, alelos múltiples y poligénica</t>
        </is>
      </c>
      <c r="B66" t="inlineStr">
        <is>
          <t>alineado</t>
        </is>
      </c>
      <c r="C66" t="n">
        <v>7</v>
      </c>
      <c r="D66" t="n">
        <v>7</v>
      </c>
      <c r="G66" t="n">
        <v>8.5</v>
      </c>
      <c r="H66" t="n">
        <v>7</v>
      </c>
      <c r="J66" t="n">
        <v>7</v>
      </c>
      <c r="M66" t="n">
        <v>7</v>
      </c>
      <c r="P66" t="n">
        <v>1</v>
      </c>
      <c r="Q66" t="n">
        <v>1</v>
      </c>
      <c r="S66" t="n">
        <v>1</v>
      </c>
      <c r="V66" t="n">
        <v>1</v>
      </c>
      <c r="Z66" t="n">
        <v>1</v>
      </c>
      <c r="AF66" t="n">
        <v>10</v>
      </c>
      <c r="AG66" t="inlineStr">
        <is>
          <t>alineado</t>
        </is>
      </c>
      <c r="AH66" t="inlineStr">
        <is>
          <t>posterior</t>
        </is>
      </c>
    </row>
    <row r="67">
      <c r="A67" t="inlineStr">
        <is>
          <t>Homeostasis</t>
        </is>
      </c>
      <c r="B67" t="inlineStr">
        <is>
          <t>alineado</t>
        </is>
      </c>
      <c r="C67" t="n">
        <v>9</v>
      </c>
      <c r="E67" t="n">
        <v>8</v>
      </c>
      <c r="F67" t="n">
        <v>8</v>
      </c>
      <c r="G67" t="n">
        <v>8.5</v>
      </c>
      <c r="H67" t="n">
        <v>7</v>
      </c>
      <c r="J67" t="n">
        <v>7</v>
      </c>
      <c r="K67" t="n">
        <v>4</v>
      </c>
      <c r="M67" t="n">
        <v>4.5</v>
      </c>
      <c r="N67" t="n">
        <v>1</v>
      </c>
      <c r="O67" t="n">
        <v>1</v>
      </c>
      <c r="P67" t="n">
        <v>1</v>
      </c>
      <c r="Q67" t="n">
        <v>1</v>
      </c>
      <c r="S67" t="n">
        <v>1</v>
      </c>
      <c r="T67" t="n">
        <v>1</v>
      </c>
      <c r="V67" t="n">
        <v>1</v>
      </c>
      <c r="Z67" t="n">
        <v>1</v>
      </c>
      <c r="AF67" t="n">
        <v>9</v>
      </c>
      <c r="AG67" t="inlineStr">
        <is>
          <t>alineado</t>
        </is>
      </c>
      <c r="AH67" t="inlineStr">
        <is>
          <t>alineado</t>
        </is>
      </c>
    </row>
    <row r="68">
      <c r="A68" t="inlineStr">
        <is>
          <t>Impacto humano en los ecosistemas</t>
        </is>
      </c>
      <c r="B68" t="inlineStr">
        <is>
          <t>alineado</t>
        </is>
      </c>
      <c r="C68" t="n">
        <v>2</v>
      </c>
      <c r="D68" t="n">
        <v>2</v>
      </c>
      <c r="F68" t="n">
        <v>2.5</v>
      </c>
      <c r="G68" t="n">
        <v>6</v>
      </c>
      <c r="H68" t="n">
        <v>2</v>
      </c>
      <c r="I68" t="n">
        <v>5</v>
      </c>
      <c r="J68" t="n">
        <v>2.5</v>
      </c>
      <c r="K68" t="n">
        <v>2</v>
      </c>
      <c r="L68" t="n">
        <v>4.5</v>
      </c>
      <c r="M68" t="n">
        <v>2.5</v>
      </c>
      <c r="O68" t="n">
        <v>1</v>
      </c>
      <c r="P68" t="n">
        <v>1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t="n">
        <v>1</v>
      </c>
      <c r="AF68" t="n">
        <v>2</v>
      </c>
      <c r="AG68" t="inlineStr">
        <is>
          <t>adelantado</t>
        </is>
      </c>
      <c r="AH68" t="inlineStr">
        <is>
          <t>alineado</t>
        </is>
      </c>
    </row>
    <row r="69">
      <c r="A69" t="inlineStr">
        <is>
          <t>Intercambio de gases en plantas</t>
        </is>
      </c>
      <c r="B69" t="inlineStr">
        <is>
          <t>alineado</t>
        </is>
      </c>
      <c r="C69" t="n">
        <v>8</v>
      </c>
      <c r="D69" t="n">
        <v>8</v>
      </c>
      <c r="G69" t="n">
        <v>6</v>
      </c>
      <c r="I69" t="n">
        <v>7</v>
      </c>
      <c r="J69" t="n">
        <v>4.5</v>
      </c>
      <c r="L69" t="n">
        <v>5</v>
      </c>
      <c r="P69" t="n">
        <v>1</v>
      </c>
      <c r="R69" t="n">
        <v>1</v>
      </c>
      <c r="S69" t="n">
        <v>1</v>
      </c>
      <c r="U69" t="n">
        <v>1</v>
      </c>
      <c r="AF69" t="n">
        <v>8</v>
      </c>
      <c r="AG69" t="inlineStr">
        <is>
          <t>sin_referente</t>
        </is>
      </c>
      <c r="AH69" t="inlineStr">
        <is>
          <t>alineado</t>
        </is>
      </c>
    </row>
    <row r="70">
      <c r="A70" t="inlineStr">
        <is>
          <t>Invertebrados e insectos</t>
        </is>
      </c>
      <c r="B70" t="inlineStr">
        <is>
          <t>alineado</t>
        </is>
      </c>
      <c r="C70" t="n">
        <v>2</v>
      </c>
      <c r="D70" t="n">
        <v>2</v>
      </c>
      <c r="F70" t="n">
        <v>2.5</v>
      </c>
      <c r="G70" t="n">
        <v>3</v>
      </c>
      <c r="H70" t="n">
        <v>2</v>
      </c>
      <c r="I70" t="n">
        <v>2</v>
      </c>
      <c r="K70" t="n">
        <v>2</v>
      </c>
      <c r="O70" t="n">
        <v>1</v>
      </c>
      <c r="P70" t="n">
        <v>1</v>
      </c>
      <c r="Q70" t="n">
        <v>1</v>
      </c>
      <c r="R70" t="n">
        <v>1</v>
      </c>
      <c r="T70" t="n">
        <v>1</v>
      </c>
      <c r="AF70" t="n">
        <v>2</v>
      </c>
      <c r="AG70" t="inlineStr">
        <is>
          <t>alineado</t>
        </is>
      </c>
      <c r="AH70" t="inlineStr">
        <is>
          <t>alineado</t>
        </is>
      </c>
    </row>
    <row r="71">
      <c r="A71" t="inlineStr">
        <is>
          <t>La célula como unidad de la vida</t>
        </is>
      </c>
      <c r="B71" t="inlineStr">
        <is>
          <t>alineado</t>
        </is>
      </c>
      <c r="C71" t="n">
        <v>6</v>
      </c>
      <c r="D71" t="n">
        <v>6</v>
      </c>
      <c r="E71" t="n">
        <v>7</v>
      </c>
      <c r="F71" t="n">
        <v>8</v>
      </c>
      <c r="G71" t="n">
        <v>6</v>
      </c>
      <c r="H71" t="n">
        <v>5</v>
      </c>
      <c r="I71" t="n">
        <v>7</v>
      </c>
      <c r="J71" t="n">
        <v>4.5</v>
      </c>
      <c r="K71" t="n">
        <v>7</v>
      </c>
      <c r="L71" t="n">
        <v>5</v>
      </c>
      <c r="M71" t="n">
        <v>4.5</v>
      </c>
      <c r="N71" t="n">
        <v>1</v>
      </c>
      <c r="O71" t="n">
        <v>1</v>
      </c>
      <c r="P71" t="n">
        <v>1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t="n">
        <v>1</v>
      </c>
      <c r="AF71" t="n">
        <v>6</v>
      </c>
      <c r="AG71" t="inlineStr">
        <is>
          <t>alineado</t>
        </is>
      </c>
      <c r="AH71" t="inlineStr">
        <is>
          <t>alineado</t>
        </is>
      </c>
    </row>
    <row r="72">
      <c r="A72" t="inlineStr">
        <is>
          <t>Necesidades de los seres vivos</t>
        </is>
      </c>
      <c r="B72" t="inlineStr">
        <is>
          <t>alineado</t>
        </is>
      </c>
      <c r="C72" t="n">
        <v>2</v>
      </c>
      <c r="D72" t="n">
        <v>2</v>
      </c>
      <c r="E72" t="n">
        <v>2</v>
      </c>
      <c r="F72" t="n">
        <v>2.5</v>
      </c>
      <c r="G72" t="n">
        <v>2</v>
      </c>
      <c r="H72" t="n">
        <v>2</v>
      </c>
      <c r="I72" t="n">
        <v>4</v>
      </c>
      <c r="J72" t="n">
        <v>2.5</v>
      </c>
      <c r="K72" t="n">
        <v>2</v>
      </c>
      <c r="L72" t="n">
        <v>3</v>
      </c>
      <c r="M72" t="n">
        <v>2.5</v>
      </c>
      <c r="N72" t="n">
        <v>1</v>
      </c>
      <c r="O72" t="n">
        <v>1</v>
      </c>
      <c r="P72" t="n">
        <v>1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t="n">
        <v>1</v>
      </c>
      <c r="AF72" t="n">
        <v>2</v>
      </c>
      <c r="AG72" t="inlineStr">
        <is>
          <t>alineado</t>
        </is>
      </c>
      <c r="AH72" t="inlineStr">
        <is>
          <t>alineado</t>
        </is>
      </c>
    </row>
    <row r="73">
      <c r="A73" t="inlineStr">
        <is>
          <t>Niveles de organización de los seres vivos</t>
        </is>
      </c>
      <c r="B73" t="inlineStr">
        <is>
          <t>alineado</t>
        </is>
      </c>
      <c r="C73" t="n">
        <v>4</v>
      </c>
      <c r="D73" t="n">
        <v>4</v>
      </c>
      <c r="E73" t="n">
        <v>7</v>
      </c>
      <c r="F73" t="n">
        <v>5</v>
      </c>
      <c r="G73" t="n">
        <v>6</v>
      </c>
      <c r="H73" t="n">
        <v>7</v>
      </c>
      <c r="I73" t="n">
        <v>5</v>
      </c>
      <c r="J73" t="n">
        <v>4.5</v>
      </c>
      <c r="K73" t="n">
        <v>7</v>
      </c>
      <c r="L73" t="n">
        <v>4.5</v>
      </c>
      <c r="M73" t="n">
        <v>4.5</v>
      </c>
      <c r="N73" t="n">
        <v>1</v>
      </c>
      <c r="O73" t="n">
        <v>1</v>
      </c>
      <c r="P73" t="n">
        <v>1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t="n">
        <v>1</v>
      </c>
      <c r="Z73" t="n">
        <v>1</v>
      </c>
      <c r="AF73" t="n">
        <v>4</v>
      </c>
      <c r="AG73" t="inlineStr">
        <is>
          <t>adelantado</t>
        </is>
      </c>
      <c r="AH73" t="inlineStr">
        <is>
          <t>alineado</t>
        </is>
      </c>
    </row>
    <row r="74">
      <c r="A74" t="inlineStr">
        <is>
          <t>Niveles de organización ecológica</t>
        </is>
      </c>
      <c r="B74" t="inlineStr">
        <is>
          <t>alineado</t>
        </is>
      </c>
      <c r="C74" t="n">
        <v>4</v>
      </c>
      <c r="D74" t="n">
        <v>4</v>
      </c>
      <c r="F74" t="n">
        <v>2.5</v>
      </c>
      <c r="G74" t="n">
        <v>8.5</v>
      </c>
      <c r="H74" t="n">
        <v>3</v>
      </c>
      <c r="J74" t="n">
        <v>2.5</v>
      </c>
      <c r="K74" t="n">
        <v>3</v>
      </c>
      <c r="L74" t="n">
        <v>6</v>
      </c>
      <c r="M74" t="n">
        <v>4.5</v>
      </c>
      <c r="O74" t="n">
        <v>1</v>
      </c>
      <c r="P74" t="n">
        <v>1</v>
      </c>
      <c r="Q74" t="n">
        <v>1</v>
      </c>
      <c r="S74" t="n">
        <v>1</v>
      </c>
      <c r="T74" t="n">
        <v>1</v>
      </c>
      <c r="U74" t="n">
        <v>1</v>
      </c>
      <c r="V74" t="n">
        <v>1</v>
      </c>
      <c r="AF74" t="n">
        <v>4</v>
      </c>
      <c r="AG74" t="inlineStr">
        <is>
          <t>adelantado</t>
        </is>
      </c>
      <c r="AH74" t="inlineStr">
        <is>
          <t>alineado</t>
        </is>
      </c>
    </row>
    <row r="75">
      <c r="A75" t="inlineStr">
        <is>
          <t>Nutrición autótrofa y heterótrofa</t>
        </is>
      </c>
      <c r="B75" t="inlineStr">
        <is>
          <t>alineado</t>
        </is>
      </c>
      <c r="C75" t="n">
        <v>2</v>
      </c>
      <c r="D75" t="n">
        <v>2</v>
      </c>
      <c r="F75" t="n">
        <v>2.5</v>
      </c>
      <c r="G75" t="n">
        <v>2</v>
      </c>
      <c r="H75" t="n">
        <v>2</v>
      </c>
      <c r="I75" t="n">
        <v>5</v>
      </c>
      <c r="J75" t="n">
        <v>2.5</v>
      </c>
      <c r="K75" t="n">
        <v>2</v>
      </c>
      <c r="L75" t="n">
        <v>5</v>
      </c>
      <c r="M75" t="n">
        <v>7</v>
      </c>
      <c r="O75" t="n">
        <v>1</v>
      </c>
      <c r="P75" t="n">
        <v>1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t="n">
        <v>1</v>
      </c>
      <c r="AF75" t="n">
        <v>3</v>
      </c>
      <c r="AG75" t="inlineStr">
        <is>
          <t>adelantado</t>
        </is>
      </c>
      <c r="AH75" t="inlineStr">
        <is>
          <t>alineado</t>
        </is>
      </c>
    </row>
    <row r="76">
      <c r="A76" t="inlineStr">
        <is>
          <t>Órganos de los sentidos</t>
        </is>
      </c>
      <c r="B76" t="inlineStr">
        <is>
          <t>alineado</t>
        </is>
      </c>
      <c r="C76" t="n">
        <v>4</v>
      </c>
      <c r="D76" t="n">
        <v>4</v>
      </c>
      <c r="F76" t="n">
        <v>8</v>
      </c>
      <c r="G76" t="n">
        <v>2</v>
      </c>
      <c r="H76" t="n">
        <v>2</v>
      </c>
      <c r="I76" t="n">
        <v>7</v>
      </c>
      <c r="J76" t="n">
        <v>7</v>
      </c>
      <c r="K76" t="n">
        <v>2</v>
      </c>
      <c r="M76" t="n">
        <v>2.5</v>
      </c>
      <c r="O76" t="n">
        <v>1</v>
      </c>
      <c r="P76" t="n">
        <v>1</v>
      </c>
      <c r="Q76" t="n">
        <v>1</v>
      </c>
      <c r="R76" t="n">
        <v>1</v>
      </c>
      <c r="S76" t="n">
        <v>1</v>
      </c>
      <c r="T76" t="n">
        <v>1</v>
      </c>
      <c r="V76" t="n">
        <v>1</v>
      </c>
      <c r="AF76" t="n">
        <v>4</v>
      </c>
      <c r="AG76" t="inlineStr">
        <is>
          <t>alineado</t>
        </is>
      </c>
      <c r="AH76" t="inlineStr">
        <is>
          <t>alineado</t>
        </is>
      </c>
    </row>
    <row r="77">
      <c r="A77" t="inlineStr">
        <is>
          <t>Partes de la planta y sus funciones</t>
        </is>
      </c>
      <c r="B77" t="inlineStr">
        <is>
          <t>alineado</t>
        </is>
      </c>
      <c r="C77" t="n">
        <v>2</v>
      </c>
      <c r="D77" t="n">
        <v>2</v>
      </c>
      <c r="E77" t="n">
        <v>2</v>
      </c>
      <c r="F77" t="n">
        <v>2.5</v>
      </c>
      <c r="G77" t="n">
        <v>2</v>
      </c>
      <c r="H77" t="n">
        <v>2</v>
      </c>
      <c r="I77" t="n">
        <v>2</v>
      </c>
      <c r="J77" t="n">
        <v>2.5</v>
      </c>
      <c r="K77" t="n">
        <v>2</v>
      </c>
      <c r="L77" t="n">
        <v>4</v>
      </c>
      <c r="M77" t="n">
        <v>2.5</v>
      </c>
      <c r="N77" t="n">
        <v>1</v>
      </c>
      <c r="O77" t="n">
        <v>1</v>
      </c>
      <c r="P77" t="n">
        <v>1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t="n">
        <v>1</v>
      </c>
      <c r="AF77" t="n">
        <v>2</v>
      </c>
      <c r="AG77" t="inlineStr">
        <is>
          <t>alineado</t>
        </is>
      </c>
      <c r="AH77" t="inlineStr">
        <is>
          <t>alineado</t>
        </is>
      </c>
    </row>
    <row r="78">
      <c r="A78" t="inlineStr">
        <is>
          <t>Plantas y animales útiles al ser humano</t>
        </is>
      </c>
      <c r="B78" t="inlineStr">
        <is>
          <t>alineado</t>
        </is>
      </c>
      <c r="C78" t="n">
        <v>2</v>
      </c>
      <c r="D78" t="n">
        <v>2</v>
      </c>
      <c r="F78" t="n">
        <v>2.5</v>
      </c>
      <c r="G78" t="n">
        <v>8.5</v>
      </c>
      <c r="H78" t="n">
        <v>2</v>
      </c>
      <c r="J78" t="n">
        <v>2.5</v>
      </c>
      <c r="K78" t="n">
        <v>2</v>
      </c>
      <c r="M78" t="n">
        <v>2.5</v>
      </c>
      <c r="O78" t="n">
        <v>1</v>
      </c>
      <c r="P78" t="n">
        <v>1</v>
      </c>
      <c r="Q78" t="n">
        <v>1</v>
      </c>
      <c r="S78" t="n">
        <v>1</v>
      </c>
      <c r="T78" t="n">
        <v>1</v>
      </c>
      <c r="V78" t="n">
        <v>1</v>
      </c>
      <c r="AF78" t="n">
        <v>2</v>
      </c>
      <c r="AG78" t="inlineStr">
        <is>
          <t>adelantado</t>
        </is>
      </c>
      <c r="AH78" t="inlineStr">
        <is>
          <t>alineado</t>
        </is>
      </c>
    </row>
    <row r="79">
      <c r="A79" t="inlineStr">
        <is>
          <t>Productores, consumidores y descomponedores</t>
        </is>
      </c>
      <c r="B79" t="inlineStr">
        <is>
          <t>alineado</t>
        </is>
      </c>
      <c r="C79" t="n">
        <v>3</v>
      </c>
      <c r="D79" t="n">
        <v>3</v>
      </c>
      <c r="E79" t="n">
        <v>3</v>
      </c>
      <c r="F79" t="n">
        <v>2.5</v>
      </c>
      <c r="G79" t="n">
        <v>2</v>
      </c>
      <c r="H79" t="n">
        <v>3</v>
      </c>
      <c r="I79" t="n">
        <v>8</v>
      </c>
      <c r="J79" t="n">
        <v>2.5</v>
      </c>
      <c r="K79" t="n">
        <v>2</v>
      </c>
      <c r="L79" t="n">
        <v>6</v>
      </c>
      <c r="M79" t="n">
        <v>7</v>
      </c>
      <c r="N79" t="n">
        <v>1</v>
      </c>
      <c r="O79" t="n">
        <v>1</v>
      </c>
      <c r="P79" t="n">
        <v>1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t="n">
        <v>1</v>
      </c>
      <c r="AF79" t="n">
        <v>3</v>
      </c>
      <c r="AG79" t="inlineStr">
        <is>
          <t>alineado</t>
        </is>
      </c>
      <c r="AH79" t="inlineStr">
        <is>
          <t>alineado</t>
        </is>
      </c>
    </row>
    <row r="80">
      <c r="A80" t="inlineStr">
        <is>
          <t>Reproducción humana y pubertad</t>
        </is>
      </c>
      <c r="B80" t="inlineStr">
        <is>
          <t>alineado</t>
        </is>
      </c>
      <c r="C80" t="n">
        <v>4</v>
      </c>
      <c r="D80" t="n">
        <v>4</v>
      </c>
      <c r="E80" t="n">
        <v>8</v>
      </c>
      <c r="F80" t="n">
        <v>8</v>
      </c>
      <c r="G80" t="n">
        <v>3</v>
      </c>
      <c r="H80" t="n">
        <v>4</v>
      </c>
      <c r="I80" t="n">
        <v>4</v>
      </c>
      <c r="L80" t="n">
        <v>5</v>
      </c>
      <c r="M80" t="n">
        <v>7</v>
      </c>
      <c r="N80" t="n">
        <v>1</v>
      </c>
      <c r="O80" t="n">
        <v>1</v>
      </c>
      <c r="P80" t="n">
        <v>1</v>
      </c>
      <c r="Q80" t="n">
        <v>1</v>
      </c>
      <c r="R80" t="n">
        <v>1</v>
      </c>
      <c r="U80" t="n">
        <v>1</v>
      </c>
      <c r="V80" t="n">
        <v>1</v>
      </c>
      <c r="Z80" t="n">
        <v>1</v>
      </c>
      <c r="AF80" t="n">
        <v>4</v>
      </c>
      <c r="AG80" t="inlineStr">
        <is>
          <t>adelantado</t>
        </is>
      </c>
      <c r="AH80" t="inlineStr">
        <is>
          <t>alineado</t>
        </is>
      </c>
    </row>
    <row r="81">
      <c r="A81" t="inlineStr">
        <is>
          <t>Reproducción sexual y asexual</t>
        </is>
      </c>
      <c r="B81" t="inlineStr">
        <is>
          <t>alineado</t>
        </is>
      </c>
      <c r="C81" t="n">
        <v>6</v>
      </c>
      <c r="D81" t="n">
        <v>6</v>
      </c>
      <c r="E81" t="n">
        <v>8</v>
      </c>
      <c r="F81" t="n">
        <v>8</v>
      </c>
      <c r="G81" t="n">
        <v>3</v>
      </c>
      <c r="H81" t="n">
        <v>3</v>
      </c>
      <c r="I81" t="n">
        <v>4</v>
      </c>
      <c r="L81" t="n">
        <v>5</v>
      </c>
      <c r="M81" t="n">
        <v>2.5</v>
      </c>
      <c r="N81" t="n">
        <v>1</v>
      </c>
      <c r="O81" t="n">
        <v>1</v>
      </c>
      <c r="P81" t="n">
        <v>1</v>
      </c>
      <c r="Q81" t="n">
        <v>1</v>
      </c>
      <c r="R81" t="n">
        <v>1</v>
      </c>
      <c r="U81" t="n">
        <v>1</v>
      </c>
      <c r="V81" t="n">
        <v>1</v>
      </c>
      <c r="Z81" t="n">
        <v>1</v>
      </c>
      <c r="AF81" t="n">
        <v>6</v>
      </c>
      <c r="AG81" t="inlineStr">
        <is>
          <t>alineado</t>
        </is>
      </c>
      <c r="AH81" t="inlineStr">
        <is>
          <t>alineado</t>
        </is>
      </c>
    </row>
    <row r="82">
      <c r="A82" t="inlineStr">
        <is>
          <t>Requerimientos de materia y energía de la célula</t>
        </is>
      </c>
      <c r="B82" t="inlineStr">
        <is>
          <t>alineado</t>
        </is>
      </c>
      <c r="C82" t="n">
        <v>9</v>
      </c>
      <c r="G82" t="n">
        <v>6</v>
      </c>
      <c r="H82" t="n">
        <v>7</v>
      </c>
      <c r="J82" t="n">
        <v>4.5</v>
      </c>
      <c r="K82" t="n">
        <v>7</v>
      </c>
      <c r="L82" t="n">
        <v>5</v>
      </c>
      <c r="M82" t="n">
        <v>7</v>
      </c>
      <c r="P82" t="n">
        <v>1</v>
      </c>
      <c r="Q82" t="n">
        <v>1</v>
      </c>
      <c r="S82" t="n">
        <v>1</v>
      </c>
      <c r="T82" t="n">
        <v>1</v>
      </c>
      <c r="U82" t="n">
        <v>1</v>
      </c>
      <c r="V82" t="n">
        <v>1</v>
      </c>
      <c r="Z82" t="n">
        <v>1</v>
      </c>
      <c r="AF82" t="n">
        <v>10</v>
      </c>
      <c r="AG82" t="inlineStr">
        <is>
          <t>posterior</t>
        </is>
      </c>
      <c r="AH82" t="inlineStr">
        <is>
          <t>tardio</t>
        </is>
      </c>
    </row>
    <row r="83">
      <c r="A83" t="inlineStr">
        <is>
          <t>Respiración celular</t>
        </is>
      </c>
      <c r="B83" t="inlineStr">
        <is>
          <t>alineado</t>
        </is>
      </c>
      <c r="C83" t="n">
        <v>6</v>
      </c>
      <c r="D83" t="n">
        <v>6</v>
      </c>
      <c r="E83" t="n">
        <v>8</v>
      </c>
      <c r="F83" t="n">
        <v>5</v>
      </c>
      <c r="G83" t="n">
        <v>6</v>
      </c>
      <c r="H83" t="n">
        <v>7</v>
      </c>
      <c r="I83" t="n">
        <v>7</v>
      </c>
      <c r="J83" t="n">
        <v>7</v>
      </c>
      <c r="K83" t="n">
        <v>7</v>
      </c>
      <c r="L83" t="n">
        <v>6</v>
      </c>
      <c r="M83" t="n">
        <v>7</v>
      </c>
      <c r="N83" t="n">
        <v>1</v>
      </c>
      <c r="O83" t="n">
        <v>1</v>
      </c>
      <c r="P83" t="n">
        <v>1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t="n">
        <v>1</v>
      </c>
      <c r="AF83" t="n">
        <v>6</v>
      </c>
      <c r="AG83" t="inlineStr">
        <is>
          <t>alineado</t>
        </is>
      </c>
      <c r="AH83" t="inlineStr">
        <is>
          <t>alineado</t>
        </is>
      </c>
    </row>
    <row r="84">
      <c r="A84" t="inlineStr">
        <is>
          <t>Respuesta de los seres vivos a estímulos</t>
        </is>
      </c>
      <c r="B84" t="inlineStr">
        <is>
          <t>alineado</t>
        </is>
      </c>
      <c r="C84" t="n">
        <v>2</v>
      </c>
      <c r="D84" t="n">
        <v>2</v>
      </c>
      <c r="E84" t="n">
        <v>8</v>
      </c>
      <c r="F84" t="n">
        <v>8</v>
      </c>
      <c r="G84" t="n">
        <v>8.5</v>
      </c>
      <c r="H84" t="n">
        <v>2</v>
      </c>
      <c r="I84" t="n">
        <v>3</v>
      </c>
      <c r="J84" t="n">
        <v>7</v>
      </c>
      <c r="K84" t="n">
        <v>2</v>
      </c>
      <c r="L84" t="n">
        <v>3</v>
      </c>
      <c r="M84" t="n">
        <v>2.5</v>
      </c>
      <c r="N84" t="n">
        <v>1</v>
      </c>
      <c r="O84" t="n">
        <v>1</v>
      </c>
      <c r="P84" t="n">
        <v>1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t="n">
        <v>1</v>
      </c>
      <c r="AF84" t="n">
        <v>2</v>
      </c>
      <c r="AG84" t="inlineStr">
        <is>
          <t>adelantado</t>
        </is>
      </c>
      <c r="AH84" t="inlineStr">
        <is>
          <t>alineado</t>
        </is>
      </c>
    </row>
    <row r="85">
      <c r="A85" t="inlineStr">
        <is>
          <t>Modelo estímulo-respuesta y retroalimentación negativa</t>
        </is>
      </c>
      <c r="B85" t="inlineStr">
        <is>
          <t>alineado</t>
        </is>
      </c>
      <c r="C85" t="n">
        <v>9</v>
      </c>
      <c r="E85" t="n">
        <v>8</v>
      </c>
      <c r="F85" t="n">
        <v>8</v>
      </c>
      <c r="G85" t="n">
        <v>8.5</v>
      </c>
      <c r="H85" t="n">
        <v>7</v>
      </c>
      <c r="I85" t="n">
        <v>7</v>
      </c>
      <c r="J85" t="n">
        <v>7</v>
      </c>
      <c r="M85" t="n">
        <v>4.5</v>
      </c>
      <c r="N85" t="n">
        <v>1</v>
      </c>
      <c r="O85" t="n">
        <v>1</v>
      </c>
      <c r="P85" t="n">
        <v>1</v>
      </c>
      <c r="Q85" t="n">
        <v>1</v>
      </c>
      <c r="R85" t="n">
        <v>1</v>
      </c>
      <c r="S85" t="n">
        <v>1</v>
      </c>
      <c r="V85" t="n">
        <v>1</v>
      </c>
      <c r="AF85" t="n">
        <v>9</v>
      </c>
      <c r="AG85" t="inlineStr">
        <is>
          <t>alineado</t>
        </is>
      </c>
      <c r="AH85" t="inlineStr">
        <is>
          <t>alineado</t>
        </is>
      </c>
    </row>
    <row r="86">
      <c r="A86" t="inlineStr">
        <is>
          <t>Seres vivos y no vivos</t>
        </is>
      </c>
      <c r="B86" t="inlineStr">
        <is>
          <t>alineado</t>
        </is>
      </c>
      <c r="C86" t="n">
        <v>2</v>
      </c>
      <c r="D86" t="n">
        <v>2</v>
      </c>
      <c r="E86" t="n">
        <v>2</v>
      </c>
      <c r="F86" t="n">
        <v>2.5</v>
      </c>
      <c r="G86" t="n">
        <v>2</v>
      </c>
      <c r="H86" t="n">
        <v>2</v>
      </c>
      <c r="K86" t="n">
        <v>2</v>
      </c>
      <c r="L86" t="n">
        <v>3</v>
      </c>
      <c r="M86" t="n">
        <v>2.5</v>
      </c>
      <c r="N86" t="n">
        <v>1</v>
      </c>
      <c r="O86" t="n">
        <v>1</v>
      </c>
      <c r="P86" t="n">
        <v>1</v>
      </c>
      <c r="Q86" t="n">
        <v>1</v>
      </c>
      <c r="T86" t="n">
        <v>1</v>
      </c>
      <c r="U86" t="n">
        <v>1</v>
      </c>
      <c r="V86" t="n">
        <v>1</v>
      </c>
      <c r="AF86" t="n">
        <v>2</v>
      </c>
      <c r="AG86" t="inlineStr">
        <is>
          <t>alineado</t>
        </is>
      </c>
      <c r="AH86" t="inlineStr">
        <is>
          <t>alineado</t>
        </is>
      </c>
    </row>
    <row r="87">
      <c r="A87" t="inlineStr">
        <is>
          <t>Sistema circulatorio</t>
        </is>
      </c>
      <c r="B87" t="inlineStr">
        <is>
          <t>alineado</t>
        </is>
      </c>
      <c r="C87" t="n">
        <v>4</v>
      </c>
      <c r="D87" t="n">
        <v>4</v>
      </c>
      <c r="F87" t="n">
        <v>8</v>
      </c>
      <c r="G87" t="n">
        <v>4</v>
      </c>
      <c r="H87" t="n">
        <v>2</v>
      </c>
      <c r="I87" t="n">
        <v>5</v>
      </c>
      <c r="J87" t="n">
        <v>4.5</v>
      </c>
      <c r="K87" t="n">
        <v>4</v>
      </c>
      <c r="L87" t="n">
        <v>4</v>
      </c>
      <c r="M87" t="n">
        <v>7</v>
      </c>
      <c r="O87" t="n">
        <v>1</v>
      </c>
      <c r="P87" t="n">
        <v>1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t="n">
        <v>1</v>
      </c>
      <c r="Z87" t="n">
        <v>1</v>
      </c>
      <c r="AF87" t="n">
        <v>4</v>
      </c>
      <c r="AG87" t="inlineStr">
        <is>
          <t>alineado</t>
        </is>
      </c>
      <c r="AH87" t="inlineStr">
        <is>
          <t>alineado</t>
        </is>
      </c>
    </row>
    <row r="88">
      <c r="A88" t="inlineStr">
        <is>
          <t>Sistema digestivo</t>
        </is>
      </c>
      <c r="B88" t="inlineStr">
        <is>
          <t>alineado</t>
        </is>
      </c>
      <c r="C88" t="n">
        <v>4</v>
      </c>
      <c r="D88" t="n">
        <v>4</v>
      </c>
      <c r="F88" t="n">
        <v>8</v>
      </c>
      <c r="G88" t="n">
        <v>2</v>
      </c>
      <c r="H88" t="n">
        <v>4</v>
      </c>
      <c r="I88" t="n">
        <v>5</v>
      </c>
      <c r="J88" t="n">
        <v>4.5</v>
      </c>
      <c r="K88" t="n">
        <v>4</v>
      </c>
      <c r="L88" t="n">
        <v>4</v>
      </c>
      <c r="M88" t="n">
        <v>7</v>
      </c>
      <c r="O88" t="n">
        <v>1</v>
      </c>
      <c r="P88" t="n">
        <v>1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t="n">
        <v>1</v>
      </c>
      <c r="Z88" t="n">
        <v>1</v>
      </c>
      <c r="AF88" t="n">
        <v>4</v>
      </c>
      <c r="AG88" t="inlineStr">
        <is>
          <t>alineado</t>
        </is>
      </c>
      <c r="AH88" t="inlineStr">
        <is>
          <t>alineado</t>
        </is>
      </c>
    </row>
    <row r="89">
      <c r="A89" t="inlineStr">
        <is>
          <t>Sistema endocrino y hormonas</t>
        </is>
      </c>
      <c r="B89" t="inlineStr">
        <is>
          <t>alineado</t>
        </is>
      </c>
      <c r="C89" t="n">
        <v>9</v>
      </c>
      <c r="E89" t="n">
        <v>8</v>
      </c>
      <c r="F89" t="n">
        <v>8</v>
      </c>
      <c r="G89" t="n">
        <v>8.5</v>
      </c>
      <c r="J89" t="n">
        <v>7</v>
      </c>
      <c r="L89" t="n">
        <v>7.5</v>
      </c>
      <c r="M89" t="n">
        <v>7</v>
      </c>
      <c r="N89" t="n">
        <v>1</v>
      </c>
      <c r="O89" t="n">
        <v>1</v>
      </c>
      <c r="P89" t="n">
        <v>1</v>
      </c>
      <c r="S89" t="n">
        <v>1</v>
      </c>
      <c r="U89" t="n">
        <v>1</v>
      </c>
      <c r="V89" t="n">
        <v>1</v>
      </c>
      <c r="Z89" t="n">
        <v>1</v>
      </c>
      <c r="AF89" t="n">
        <v>9</v>
      </c>
      <c r="AG89" t="inlineStr">
        <is>
          <t>alineado</t>
        </is>
      </c>
      <c r="AH89" t="inlineStr">
        <is>
          <t>alineado</t>
        </is>
      </c>
    </row>
    <row r="90">
      <c r="A90" t="inlineStr">
        <is>
          <t>Sistema locomotor</t>
        </is>
      </c>
      <c r="B90" t="inlineStr">
        <is>
          <t>alineado</t>
        </is>
      </c>
      <c r="C90" t="n">
        <v>4</v>
      </c>
      <c r="D90" t="n">
        <v>4</v>
      </c>
      <c r="F90" t="n">
        <v>8</v>
      </c>
      <c r="G90" t="n">
        <v>2</v>
      </c>
      <c r="H90" t="n">
        <v>2</v>
      </c>
      <c r="I90" t="n">
        <v>3</v>
      </c>
      <c r="J90" t="n">
        <v>4.5</v>
      </c>
      <c r="K90" t="n">
        <v>2</v>
      </c>
      <c r="M90" t="n">
        <v>4.5</v>
      </c>
      <c r="O90" t="n">
        <v>1</v>
      </c>
      <c r="P90" t="n">
        <v>1</v>
      </c>
      <c r="Q90" t="n">
        <v>1</v>
      </c>
      <c r="R90" t="n">
        <v>1</v>
      </c>
      <c r="S90" t="n">
        <v>1</v>
      </c>
      <c r="T90" t="n">
        <v>1</v>
      </c>
      <c r="V90" t="n">
        <v>1</v>
      </c>
      <c r="AF90" t="n">
        <v>4</v>
      </c>
      <c r="AG90" t="inlineStr">
        <is>
          <t>alineado</t>
        </is>
      </c>
      <c r="AH90" t="inlineStr">
        <is>
          <t>alineado</t>
        </is>
      </c>
    </row>
    <row r="91">
      <c r="A91" t="inlineStr">
        <is>
          <t>Sistema respiratorio</t>
        </is>
      </c>
      <c r="B91" t="inlineStr">
        <is>
          <t>alineado</t>
        </is>
      </c>
      <c r="C91" t="n">
        <v>3</v>
      </c>
      <c r="D91" t="n">
        <v>3</v>
      </c>
      <c r="F91" t="n">
        <v>8</v>
      </c>
      <c r="G91" t="n">
        <v>6</v>
      </c>
      <c r="H91" t="n">
        <v>2</v>
      </c>
      <c r="I91" t="n">
        <v>5</v>
      </c>
      <c r="J91" t="n">
        <v>4.5</v>
      </c>
      <c r="K91" t="n">
        <v>4</v>
      </c>
      <c r="L91" t="n">
        <v>4</v>
      </c>
      <c r="M91" t="n">
        <v>7</v>
      </c>
      <c r="O91" t="n">
        <v>1</v>
      </c>
      <c r="P91" t="n">
        <v>1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t="n">
        <v>1</v>
      </c>
      <c r="Z91" t="n">
        <v>1</v>
      </c>
      <c r="AF91" t="n">
        <v>4</v>
      </c>
      <c r="AG91" t="inlineStr">
        <is>
          <t>adelantado</t>
        </is>
      </c>
      <c r="AH91" t="inlineStr">
        <is>
          <t>alineado</t>
        </is>
      </c>
    </row>
    <row r="92">
      <c r="A92" t="inlineStr">
        <is>
          <t>Tejidos animales</t>
        </is>
      </c>
      <c r="B92" t="inlineStr">
        <is>
          <t>alineado</t>
        </is>
      </c>
      <c r="C92" t="n">
        <v>6</v>
      </c>
      <c r="D92" t="n">
        <v>6</v>
      </c>
      <c r="E92" t="n">
        <v>7</v>
      </c>
      <c r="F92" t="n">
        <v>8</v>
      </c>
      <c r="G92" t="n">
        <v>8.5</v>
      </c>
      <c r="H92" t="n">
        <v>7</v>
      </c>
      <c r="N92" t="n">
        <v>1</v>
      </c>
      <c r="O92" t="n">
        <v>1</v>
      </c>
      <c r="P92" t="n">
        <v>1</v>
      </c>
      <c r="Q92" t="n">
        <v>1</v>
      </c>
      <c r="Z92" t="n">
        <v>1</v>
      </c>
      <c r="AF92" t="n">
        <v>6</v>
      </c>
      <c r="AG92" t="inlineStr">
        <is>
          <t>sin_referente</t>
        </is>
      </c>
      <c r="AH92" t="inlineStr">
        <is>
          <t>adelantado</t>
        </is>
      </c>
    </row>
    <row r="93">
      <c r="A93" t="inlineStr">
        <is>
          <t>Tejidos vegetales</t>
        </is>
      </c>
      <c r="B93" t="inlineStr">
        <is>
          <t>alineado</t>
        </is>
      </c>
      <c r="C93" t="n">
        <v>8</v>
      </c>
      <c r="D93" t="n">
        <v>8</v>
      </c>
      <c r="E93" t="n">
        <v>7</v>
      </c>
      <c r="F93" t="n">
        <v>8</v>
      </c>
      <c r="G93" t="n">
        <v>8.5</v>
      </c>
      <c r="H93" t="n">
        <v>7</v>
      </c>
      <c r="J93" t="n">
        <v>4.5</v>
      </c>
      <c r="L93" t="n">
        <v>7.5</v>
      </c>
      <c r="M93" t="n">
        <v>7</v>
      </c>
      <c r="N93" t="n">
        <v>1</v>
      </c>
      <c r="O93" t="n">
        <v>1</v>
      </c>
      <c r="P93" t="n">
        <v>1</v>
      </c>
      <c r="Q93" t="n">
        <v>1</v>
      </c>
      <c r="S93" t="n">
        <v>1</v>
      </c>
      <c r="U93" t="n">
        <v>1</v>
      </c>
      <c r="V93" t="n">
        <v>1</v>
      </c>
      <c r="AF93" t="n">
        <v>8</v>
      </c>
      <c r="AG93" t="inlineStr">
        <is>
          <t>alineado</t>
        </is>
      </c>
      <c r="AH93" t="inlineStr">
        <is>
          <t>alineado</t>
        </is>
      </c>
    </row>
    <row r="94">
      <c r="A94" t="inlineStr">
        <is>
          <t>Transporte en plantas: xilema y floema</t>
        </is>
      </c>
      <c r="B94" t="inlineStr">
        <is>
          <t>alineado</t>
        </is>
      </c>
      <c r="C94" t="n">
        <v>6</v>
      </c>
      <c r="D94" t="n">
        <v>6</v>
      </c>
      <c r="G94" t="n">
        <v>2</v>
      </c>
      <c r="H94" t="n">
        <v>7</v>
      </c>
      <c r="I94" t="n">
        <v>5</v>
      </c>
      <c r="J94" t="n">
        <v>4.5</v>
      </c>
      <c r="L94" t="n">
        <v>5</v>
      </c>
      <c r="M94" t="n">
        <v>7</v>
      </c>
      <c r="P94" t="n">
        <v>1</v>
      </c>
      <c r="Q94" t="n">
        <v>1</v>
      </c>
      <c r="R94" t="n">
        <v>1</v>
      </c>
      <c r="S94" t="n">
        <v>1</v>
      </c>
      <c r="U94" t="n">
        <v>1</v>
      </c>
      <c r="V94" t="n">
        <v>1</v>
      </c>
      <c r="AF94" t="n">
        <v>8</v>
      </c>
      <c r="AG94" t="inlineStr">
        <is>
          <t>alineado</t>
        </is>
      </c>
      <c r="AH94" t="inlineStr">
        <is>
          <t>alineado</t>
        </is>
      </c>
    </row>
    <row r="95">
      <c r="A95" t="inlineStr">
        <is>
          <t>Variación genética en la descendencia</t>
        </is>
      </c>
      <c r="B95" t="inlineStr">
        <is>
          <t>alineado</t>
        </is>
      </c>
      <c r="C95" t="n">
        <v>6</v>
      </c>
      <c r="D95" t="n">
        <v>6</v>
      </c>
      <c r="F95" t="n">
        <v>8</v>
      </c>
      <c r="G95" t="n">
        <v>4</v>
      </c>
      <c r="H95" t="n">
        <v>7</v>
      </c>
      <c r="I95" t="n">
        <v>8</v>
      </c>
      <c r="K95" t="n">
        <v>5</v>
      </c>
      <c r="L95" t="n">
        <v>7.5</v>
      </c>
      <c r="M95" t="n">
        <v>4.5</v>
      </c>
      <c r="O95" t="n">
        <v>1</v>
      </c>
      <c r="P95" t="n">
        <v>1</v>
      </c>
      <c r="Q95" t="n">
        <v>1</v>
      </c>
      <c r="R95" t="n">
        <v>1</v>
      </c>
      <c r="T95" t="n">
        <v>1</v>
      </c>
      <c r="U95" t="n">
        <v>1</v>
      </c>
      <c r="V95" t="n">
        <v>1</v>
      </c>
      <c r="AF95" t="n">
        <v>7</v>
      </c>
      <c r="AG95" t="inlineStr">
        <is>
          <t>alineado</t>
        </is>
      </c>
      <c r="AH95" t="inlineStr">
        <is>
          <t>alineado</t>
        </is>
      </c>
    </row>
    <row r="96">
      <c r="A96" t="inlineStr">
        <is>
          <t>Célula animal y célula vegetal</t>
        </is>
      </c>
      <c r="B96" t="inlineStr">
        <is>
          <t>incierto</t>
        </is>
      </c>
      <c r="C96" t="n">
        <v>6</v>
      </c>
      <c r="D96" t="n">
        <v>6</v>
      </c>
      <c r="E96" t="n">
        <v>7</v>
      </c>
      <c r="F96" t="n">
        <v>8</v>
      </c>
      <c r="G96" t="n">
        <v>6</v>
      </c>
      <c r="H96" t="n">
        <v>5</v>
      </c>
      <c r="I96" t="n">
        <v>7</v>
      </c>
      <c r="J96" t="n">
        <v>4.5</v>
      </c>
      <c r="K96" t="n">
        <v>7</v>
      </c>
      <c r="L96" t="n">
        <v>7.5</v>
      </c>
      <c r="M96" t="n">
        <v>7</v>
      </c>
      <c r="N96" t="n">
        <v>1</v>
      </c>
      <c r="O96" t="n">
        <v>1</v>
      </c>
      <c r="P96" t="n">
        <v>1</v>
      </c>
      <c r="Q96" t="n">
        <v>1</v>
      </c>
      <c r="R96" t="n">
        <v>1</v>
      </c>
      <c r="S96" t="n">
        <v>1</v>
      </c>
      <c r="T96" t="n">
        <v>1</v>
      </c>
      <c r="U96" t="n">
        <v>1</v>
      </c>
      <c r="V96" t="n">
        <v>1</v>
      </c>
      <c r="AF96" t="n">
        <v>9</v>
      </c>
      <c r="AG96" t="inlineStr">
        <is>
          <t>alineado</t>
        </is>
      </c>
      <c r="AH96" t="inlineStr">
        <is>
          <t>tardio</t>
        </is>
      </c>
    </row>
    <row r="97">
      <c r="A97" t="inlineStr">
        <is>
          <t>Especiación y macroevolución</t>
        </is>
      </c>
      <c r="B97" t="inlineStr">
        <is>
          <t>incierto</t>
        </is>
      </c>
      <c r="C97" t="n">
        <v>5</v>
      </c>
      <c r="D97" t="n">
        <v>5</v>
      </c>
      <c r="F97" t="n">
        <v>8</v>
      </c>
      <c r="G97" t="n">
        <v>8.5</v>
      </c>
      <c r="O97" t="n">
        <v>1</v>
      </c>
      <c r="P97" t="n">
        <v>1</v>
      </c>
      <c r="AF97" t="n">
        <v>11</v>
      </c>
      <c r="AG97" t="inlineStr">
        <is>
          <t>sin_referente</t>
        </is>
      </c>
      <c r="AH97" t="inlineStr">
        <is>
          <t>posterior</t>
        </is>
      </c>
    </row>
    <row r="98">
      <c r="A98" t="inlineStr">
        <is>
          <t>Estructuras celulares básicas</t>
        </is>
      </c>
      <c r="B98" t="inlineStr">
        <is>
          <t>incierto</t>
        </is>
      </c>
      <c r="C98" t="n">
        <v>6</v>
      </c>
      <c r="D98" t="n">
        <v>6</v>
      </c>
      <c r="E98" t="n">
        <v>7</v>
      </c>
      <c r="F98" t="n">
        <v>8</v>
      </c>
      <c r="G98" t="n">
        <v>6</v>
      </c>
      <c r="H98" t="n">
        <v>5</v>
      </c>
      <c r="I98" t="n">
        <v>7</v>
      </c>
      <c r="J98" t="n">
        <v>4.5</v>
      </c>
      <c r="K98" t="n">
        <v>7</v>
      </c>
      <c r="L98" t="n">
        <v>7.5</v>
      </c>
      <c r="M98" t="n">
        <v>7</v>
      </c>
      <c r="N98" t="n">
        <v>1</v>
      </c>
      <c r="O98" t="n">
        <v>1</v>
      </c>
      <c r="P98" t="n">
        <v>1</v>
      </c>
      <c r="Q98" t="n">
        <v>1</v>
      </c>
      <c r="R98" t="n">
        <v>1</v>
      </c>
      <c r="S98" t="n">
        <v>1</v>
      </c>
      <c r="T98" t="n">
        <v>1</v>
      </c>
      <c r="U98" t="n">
        <v>1</v>
      </c>
      <c r="V98" t="n">
        <v>1</v>
      </c>
      <c r="Z98" t="n">
        <v>1</v>
      </c>
      <c r="AF98" t="n">
        <v>9</v>
      </c>
      <c r="AG98" t="inlineStr">
        <is>
          <t>alineado</t>
        </is>
      </c>
      <c r="AH98" t="inlineStr">
        <is>
          <t>tardio</t>
        </is>
      </c>
    </row>
    <row r="99">
      <c r="A99" t="inlineStr">
        <is>
          <t>Herencia de rasgos</t>
        </is>
      </c>
      <c r="B99" t="inlineStr">
        <is>
          <t>incierto</t>
        </is>
      </c>
      <c r="C99" t="n">
        <v>6</v>
      </c>
      <c r="D99" t="n">
        <v>6</v>
      </c>
      <c r="F99" t="n">
        <v>8</v>
      </c>
      <c r="G99" t="n">
        <v>2</v>
      </c>
      <c r="H99" t="n">
        <v>3</v>
      </c>
      <c r="I99" t="n">
        <v>8</v>
      </c>
      <c r="J99" t="n">
        <v>7</v>
      </c>
      <c r="L99" t="n">
        <v>5</v>
      </c>
      <c r="M99" t="n">
        <v>4.5</v>
      </c>
      <c r="O99" t="n">
        <v>1</v>
      </c>
      <c r="P99" t="n">
        <v>1</v>
      </c>
      <c r="Q99" t="n">
        <v>1</v>
      </c>
      <c r="R99" t="n">
        <v>1</v>
      </c>
      <c r="S99" t="n">
        <v>1</v>
      </c>
      <c r="U99" t="n">
        <v>1</v>
      </c>
      <c r="V99" t="n">
        <v>1</v>
      </c>
      <c r="AF99" t="n">
        <v>10</v>
      </c>
      <c r="AG99" t="inlineStr">
        <is>
          <t>alineado</t>
        </is>
      </c>
      <c r="AH99" t="inlineStr">
        <is>
          <t>tardio</t>
        </is>
      </c>
    </row>
    <row r="100">
      <c r="A100" t="inlineStr">
        <is>
          <t>Mutaciones</t>
        </is>
      </c>
      <c r="B100" t="inlineStr">
        <is>
          <t>incierto</t>
        </is>
      </c>
      <c r="C100" t="n">
        <v>7</v>
      </c>
      <c r="D100" t="n">
        <v>7</v>
      </c>
      <c r="G100" t="n">
        <v>8.5</v>
      </c>
      <c r="M100" t="n">
        <v>7</v>
      </c>
      <c r="P100" t="n">
        <v>1</v>
      </c>
      <c r="V100" t="n">
        <v>1</v>
      </c>
      <c r="Z100" t="n">
        <v>1</v>
      </c>
      <c r="AF100" t="n">
        <v>9</v>
      </c>
      <c r="AG100" t="inlineStr">
        <is>
          <t>sin_referente</t>
        </is>
      </c>
      <c r="AH100" t="inlineStr">
        <is>
          <t>posterior</t>
        </is>
      </c>
    </row>
    <row r="101">
      <c r="A101" t="inlineStr">
        <is>
          <t>Reproducción sexual de las plantas con flor</t>
        </is>
      </c>
      <c r="B101" t="inlineStr">
        <is>
          <t>incierto</t>
        </is>
      </c>
      <c r="C101" t="n">
        <v>6</v>
      </c>
      <c r="D101" t="n">
        <v>6</v>
      </c>
      <c r="E101" t="n">
        <v>8</v>
      </c>
      <c r="F101" t="n">
        <v>8</v>
      </c>
      <c r="G101" t="n">
        <v>2</v>
      </c>
      <c r="H101" t="n">
        <v>2</v>
      </c>
      <c r="I101" t="n">
        <v>4</v>
      </c>
      <c r="K101" t="n">
        <v>2</v>
      </c>
      <c r="L101" t="n">
        <v>5</v>
      </c>
      <c r="M101" t="n">
        <v>7</v>
      </c>
      <c r="N101" t="n">
        <v>1</v>
      </c>
      <c r="O101" t="n">
        <v>1</v>
      </c>
      <c r="P101" t="n">
        <v>1</v>
      </c>
      <c r="Q101" t="n">
        <v>1</v>
      </c>
      <c r="R101" t="n">
        <v>1</v>
      </c>
      <c r="T101" t="n">
        <v>1</v>
      </c>
      <c r="U101" t="n">
        <v>1</v>
      </c>
      <c r="V101" t="n">
        <v>1</v>
      </c>
      <c r="AF101" t="n">
        <v>11</v>
      </c>
      <c r="AG101" t="inlineStr">
        <is>
          <t>alineado</t>
        </is>
      </c>
      <c r="AH101" t="inlineStr">
        <is>
          <t>tardio</t>
        </is>
      </c>
    </row>
    <row r="102">
      <c r="A102" t="inlineStr">
        <is>
          <t>Especies clave</t>
        </is>
      </c>
      <c r="B102" t="inlineStr">
        <is>
          <t>no_aplica</t>
        </is>
      </c>
      <c r="C102" t="n">
        <v>7</v>
      </c>
      <c r="D102" t="n">
        <v>7</v>
      </c>
      <c r="K102" t="n">
        <v>3</v>
      </c>
      <c r="T102" t="n">
        <v>1</v>
      </c>
      <c r="AG102" t="inlineStr">
        <is>
          <t>sin_referente</t>
        </is>
      </c>
      <c r="AH102" t="inlineStr">
        <is>
          <t>no_aplica</t>
        </is>
      </c>
    </row>
    <row r="103">
      <c r="A103" t="inlineStr">
        <is>
          <t>Adaptaciones fisiológicas</t>
        </is>
      </c>
      <c r="B103" t="inlineStr">
        <is>
          <t>posterior</t>
        </is>
      </c>
      <c r="C103" t="n">
        <v>8</v>
      </c>
      <c r="D103" t="n">
        <v>8</v>
      </c>
      <c r="F103" t="n">
        <v>8</v>
      </c>
      <c r="H103" t="n">
        <v>3</v>
      </c>
      <c r="K103" t="n">
        <v>2</v>
      </c>
      <c r="O103" t="n">
        <v>1</v>
      </c>
      <c r="Q103" t="n">
        <v>1</v>
      </c>
      <c r="T103" t="n">
        <v>1</v>
      </c>
      <c r="AF103" t="n">
        <v>11</v>
      </c>
      <c r="AG103" t="inlineStr">
        <is>
          <t>alineado</t>
        </is>
      </c>
      <c r="AH103" t="inlineStr">
        <is>
          <t>posterior</t>
        </is>
      </c>
    </row>
    <row r="104">
      <c r="A104" t="inlineStr">
        <is>
          <t>Capacidad de carga</t>
        </is>
      </c>
      <c r="B104" t="inlineStr">
        <is>
          <t>posterior</t>
        </is>
      </c>
      <c r="C104" t="n">
        <v>11</v>
      </c>
      <c r="K104" t="n">
        <v>3</v>
      </c>
      <c r="T104" t="n">
        <v>1</v>
      </c>
      <c r="AF104" t="n">
        <v>11</v>
      </c>
      <c r="AG104" t="inlineStr">
        <is>
          <t>posterior</t>
        </is>
      </c>
      <c r="AH104" t="inlineStr">
        <is>
          <t>posterior</t>
        </is>
      </c>
    </row>
    <row r="105">
      <c r="A105" t="inlineStr">
        <is>
          <t>Ciclo del nitrógeno</t>
        </is>
      </c>
      <c r="B105" t="inlineStr">
        <is>
          <t>posterior</t>
        </is>
      </c>
      <c r="C105" t="n">
        <v>9</v>
      </c>
      <c r="F105" t="n">
        <v>8</v>
      </c>
      <c r="G105" t="n">
        <v>8.5</v>
      </c>
      <c r="K105" t="n">
        <v>6</v>
      </c>
      <c r="O105" t="n">
        <v>1</v>
      </c>
      <c r="P105" t="n">
        <v>1</v>
      </c>
      <c r="T105" t="n">
        <v>1</v>
      </c>
      <c r="AF105" t="n">
        <v>9</v>
      </c>
      <c r="AG105" t="inlineStr">
        <is>
          <t>posterior</t>
        </is>
      </c>
      <c r="AH105" t="inlineStr">
        <is>
          <t>posterior</t>
        </is>
      </c>
    </row>
    <row r="106">
      <c r="A106" t="inlineStr">
        <is>
          <t>Propagación de enfermedades y control de brotes</t>
        </is>
      </c>
      <c r="B106" t="inlineStr">
        <is>
          <t>posterior</t>
        </is>
      </c>
      <c r="C106" t="n">
        <v>9</v>
      </c>
      <c r="G106" t="n">
        <v>8.5</v>
      </c>
      <c r="H106" t="n">
        <v>3</v>
      </c>
      <c r="J106" t="n">
        <v>2.5</v>
      </c>
      <c r="L106" t="n">
        <v>7.5</v>
      </c>
      <c r="P106" t="n">
        <v>1</v>
      </c>
      <c r="Q106" t="n">
        <v>1</v>
      </c>
      <c r="S106" t="n">
        <v>1</v>
      </c>
      <c r="U106" t="n">
        <v>1</v>
      </c>
      <c r="Z106" t="n">
        <v>1</v>
      </c>
      <c r="AF106" t="n">
        <v>9</v>
      </c>
      <c r="AG106" t="inlineStr">
        <is>
          <t>posterior</t>
        </is>
      </c>
      <c r="AH106" t="inlineStr">
        <is>
          <t>posterior</t>
        </is>
      </c>
    </row>
    <row r="107">
      <c r="A107" t="inlineStr">
        <is>
          <t>Eutrofización</t>
        </is>
      </c>
      <c r="B107" t="inlineStr">
        <is>
          <t>posterior</t>
        </is>
      </c>
      <c r="C107" t="n">
        <v>7</v>
      </c>
      <c r="D107" t="n">
        <v>7</v>
      </c>
      <c r="AF107" t="n">
        <v>9</v>
      </c>
      <c r="AG107" t="inlineStr">
        <is>
          <t>sin_referente</t>
        </is>
      </c>
      <c r="AH107" t="inlineStr">
        <is>
          <t>posterior</t>
        </is>
      </c>
    </row>
    <row r="108">
      <c r="A108" t="inlineStr">
        <is>
          <t>Evidencias de la evolución</t>
        </is>
      </c>
      <c r="B108" t="inlineStr">
        <is>
          <t>posterior</t>
        </is>
      </c>
      <c r="C108" t="n">
        <v>9</v>
      </c>
      <c r="F108" t="n">
        <v>8</v>
      </c>
      <c r="G108" t="n">
        <v>4</v>
      </c>
      <c r="I108" t="n">
        <v>8</v>
      </c>
      <c r="M108" t="n">
        <v>7</v>
      </c>
      <c r="O108" t="n">
        <v>1</v>
      </c>
      <c r="P108" t="n">
        <v>1</v>
      </c>
      <c r="R108" t="n">
        <v>1</v>
      </c>
      <c r="V108" t="n">
        <v>1</v>
      </c>
      <c r="AF108" t="n">
        <v>9</v>
      </c>
      <c r="AG108" t="inlineStr">
        <is>
          <t>posterior</t>
        </is>
      </c>
      <c r="AH108" t="inlineStr">
        <is>
          <t>posterior</t>
        </is>
      </c>
    </row>
    <row r="109">
      <c r="A109" t="inlineStr">
        <is>
          <t>Fases de la fotosíntesis y ciclo de Calvin</t>
        </is>
      </c>
      <c r="B109" t="inlineStr">
        <is>
          <t>posterior</t>
        </is>
      </c>
      <c r="C109" t="n">
        <v>6</v>
      </c>
      <c r="D109" t="n">
        <v>6</v>
      </c>
      <c r="F109" t="n">
        <v>8</v>
      </c>
      <c r="O109" t="n">
        <v>1</v>
      </c>
      <c r="AF109" t="n">
        <v>10</v>
      </c>
      <c r="AG109" t="inlineStr">
        <is>
          <t>sin_referente</t>
        </is>
      </c>
      <c r="AH109" t="inlineStr">
        <is>
          <t>posterior</t>
        </is>
      </c>
    </row>
    <row r="110">
      <c r="A110" t="inlineStr">
        <is>
          <t>Secuenciación del ADN y perfiles genéticos</t>
        </is>
      </c>
      <c r="B110" t="inlineStr">
        <is>
          <t>posterior</t>
        </is>
      </c>
      <c r="C110" t="n">
        <v>9</v>
      </c>
      <c r="G110" t="n">
        <v>8.5</v>
      </c>
      <c r="H110" t="n">
        <v>7</v>
      </c>
      <c r="P110" t="n">
        <v>1</v>
      </c>
      <c r="Q110" t="n">
        <v>1</v>
      </c>
      <c r="AF110" t="n">
        <v>10</v>
      </c>
      <c r="AG110" t="inlineStr">
        <is>
          <t>posterior</t>
        </is>
      </c>
      <c r="AH110" t="inlineStr">
        <is>
          <t>posterior</t>
        </is>
      </c>
    </row>
    <row r="111">
      <c r="A111" t="inlineStr">
        <is>
          <t>Impulso nervioso y sinapsis</t>
        </is>
      </c>
      <c r="B111" t="inlineStr">
        <is>
          <t>posterior</t>
        </is>
      </c>
      <c r="C111" t="n">
        <v>10</v>
      </c>
      <c r="F111" t="n">
        <v>8</v>
      </c>
      <c r="J111" t="n">
        <v>7</v>
      </c>
      <c r="O111" t="n">
        <v>1</v>
      </c>
      <c r="S111" t="n">
        <v>1</v>
      </c>
      <c r="AF111" t="n">
        <v>10</v>
      </c>
      <c r="AG111" t="inlineStr">
        <is>
          <t>posterior</t>
        </is>
      </c>
      <c r="AH111" t="inlineStr">
        <is>
          <t>posterior</t>
        </is>
      </c>
    </row>
    <row r="112">
      <c r="A112" t="inlineStr">
        <is>
          <t>Ingeniería genética y ADN recombinante</t>
        </is>
      </c>
      <c r="B112" t="inlineStr">
        <is>
          <t>posterior</t>
        </is>
      </c>
      <c r="C112" t="n">
        <v>11</v>
      </c>
      <c r="F112" t="n">
        <v>8</v>
      </c>
      <c r="G112" t="n">
        <v>8.5</v>
      </c>
      <c r="H112" t="n">
        <v>7</v>
      </c>
      <c r="M112" t="n">
        <v>7</v>
      </c>
      <c r="O112" t="n">
        <v>1</v>
      </c>
      <c r="P112" t="n">
        <v>1</v>
      </c>
      <c r="Q112" t="n">
        <v>1</v>
      </c>
      <c r="V112" t="n">
        <v>1</v>
      </c>
      <c r="Z112" t="n">
        <v>1</v>
      </c>
      <c r="AF112" t="n">
        <v>11</v>
      </c>
      <c r="AG112" t="inlineStr">
        <is>
          <t>posterior</t>
        </is>
      </c>
      <c r="AH112" t="inlineStr">
        <is>
          <t>posterior</t>
        </is>
      </c>
    </row>
    <row r="113">
      <c r="A113" t="inlineStr">
        <is>
          <t>Inmunidad adaptativa</t>
        </is>
      </c>
      <c r="B113" t="inlineStr">
        <is>
          <t>posterior</t>
        </is>
      </c>
      <c r="C113" t="n">
        <v>9</v>
      </c>
      <c r="G113" t="n">
        <v>8.5</v>
      </c>
      <c r="M113" t="n">
        <v>7</v>
      </c>
      <c r="P113" t="n">
        <v>1</v>
      </c>
      <c r="V113" t="n">
        <v>1</v>
      </c>
      <c r="Z113" t="n">
        <v>1</v>
      </c>
      <c r="AF113" t="n">
        <v>10</v>
      </c>
      <c r="AG113" t="inlineStr">
        <is>
          <t>posterior</t>
        </is>
      </c>
      <c r="AH113" t="inlineStr">
        <is>
          <t>posterior</t>
        </is>
      </c>
    </row>
    <row r="114">
      <c r="A114" t="inlineStr">
        <is>
          <t>Inmunidad innata</t>
        </is>
      </c>
      <c r="B114" t="inlineStr">
        <is>
          <t>posterior</t>
        </is>
      </c>
      <c r="C114" t="n">
        <v>9</v>
      </c>
      <c r="G114" t="n">
        <v>8.5</v>
      </c>
      <c r="M114" t="n">
        <v>7</v>
      </c>
      <c r="P114" t="n">
        <v>1</v>
      </c>
      <c r="V114" t="n">
        <v>1</v>
      </c>
      <c r="AF114" t="n">
        <v>10</v>
      </c>
      <c r="AG114" t="inlineStr">
        <is>
          <t>posterior</t>
        </is>
      </c>
      <c r="AH114" t="inlineStr">
        <is>
          <t>posterior</t>
        </is>
      </c>
    </row>
    <row r="115">
      <c r="A115" t="inlineStr">
        <is>
          <t>Nutrición mineral de las plantas</t>
        </is>
      </c>
      <c r="B115" t="inlineStr">
        <is>
          <t>posterior</t>
        </is>
      </c>
      <c r="C115" t="n">
        <v>11</v>
      </c>
      <c r="F115" t="n">
        <v>5</v>
      </c>
      <c r="G115" t="n">
        <v>2</v>
      </c>
      <c r="I115" t="n">
        <v>4</v>
      </c>
      <c r="O115" t="n">
        <v>1</v>
      </c>
      <c r="P115" t="n">
        <v>1</v>
      </c>
      <c r="R115" t="n">
        <v>1</v>
      </c>
      <c r="AF115" t="n">
        <v>11</v>
      </c>
      <c r="AG115" t="inlineStr">
        <is>
          <t>posterior</t>
        </is>
      </c>
      <c r="AH115" t="inlineStr">
        <is>
          <t>posterior</t>
        </is>
      </c>
    </row>
    <row r="116">
      <c r="A116" t="inlineStr">
        <is>
          <t>Presión y flujo de fluidos en los seres vivos</t>
        </is>
      </c>
      <c r="B116" t="inlineStr">
        <is>
          <t>posterior</t>
        </is>
      </c>
      <c r="C116" t="n">
        <v>11</v>
      </c>
      <c r="H116" t="n">
        <v>7</v>
      </c>
      <c r="M116" t="n">
        <v>7</v>
      </c>
      <c r="Q116" t="n">
        <v>1</v>
      </c>
      <c r="V116" t="n">
        <v>1</v>
      </c>
      <c r="AF116" t="n">
        <v>11</v>
      </c>
      <c r="AG116" t="inlineStr">
        <is>
          <t>posterior</t>
        </is>
      </c>
      <c r="AH116" t="inlineStr">
        <is>
          <t>posterior</t>
        </is>
      </c>
    </row>
    <row r="117">
      <c r="A117" t="inlineStr">
        <is>
          <t>Proteínas: estructura y función</t>
        </is>
      </c>
      <c r="B117" t="inlineStr">
        <is>
          <t>posterior</t>
        </is>
      </c>
      <c r="C117" t="n">
        <v>6</v>
      </c>
      <c r="D117" t="n">
        <v>6</v>
      </c>
      <c r="G117" t="n">
        <v>8.5</v>
      </c>
      <c r="P117" t="n">
        <v>1</v>
      </c>
      <c r="AF117" t="n">
        <v>6</v>
      </c>
      <c r="AG117" t="inlineStr">
        <is>
          <t>sin_referente</t>
        </is>
      </c>
      <c r="AH117" t="inlineStr">
        <is>
          <t>sin_referente</t>
        </is>
      </c>
    </row>
    <row r="118">
      <c r="A118" t="inlineStr">
        <is>
          <t>Regulación de la expresión génica</t>
        </is>
      </c>
      <c r="B118" t="inlineStr">
        <is>
          <t>posterior</t>
        </is>
      </c>
      <c r="C118" t="n">
        <v>9</v>
      </c>
      <c r="F118" t="n">
        <v>8</v>
      </c>
      <c r="G118" t="n">
        <v>8.5</v>
      </c>
      <c r="O118" t="n">
        <v>1</v>
      </c>
      <c r="P118" t="n">
        <v>1</v>
      </c>
      <c r="AF118" t="n">
        <v>9</v>
      </c>
      <c r="AG118" t="inlineStr">
        <is>
          <t>posterior</t>
        </is>
      </c>
      <c r="AH118" t="inlineStr">
        <is>
          <t>posterior</t>
        </is>
      </c>
    </row>
    <row r="119">
      <c r="A119" t="inlineStr">
        <is>
          <t>Relación superficie-volumen</t>
        </is>
      </c>
      <c r="B119" t="inlineStr">
        <is>
          <t>posterior</t>
        </is>
      </c>
      <c r="C119" t="n">
        <v>11</v>
      </c>
      <c r="F119" t="n">
        <v>8</v>
      </c>
      <c r="G119" t="n">
        <v>8.5</v>
      </c>
      <c r="J119" t="n">
        <v>7</v>
      </c>
      <c r="K119" t="n">
        <v>7</v>
      </c>
      <c r="L119" t="n">
        <v>7.5</v>
      </c>
      <c r="O119" t="n">
        <v>1</v>
      </c>
      <c r="P119" t="n">
        <v>1</v>
      </c>
      <c r="S119" t="n">
        <v>1</v>
      </c>
      <c r="T119" t="n">
        <v>1</v>
      </c>
      <c r="U119" t="n">
        <v>1</v>
      </c>
      <c r="AG119" t="inlineStr">
        <is>
          <t>posterior</t>
        </is>
      </c>
      <c r="AH119" t="inlineStr">
        <is>
          <t>faltante</t>
        </is>
      </c>
    </row>
    <row r="120">
      <c r="A120" t="inlineStr">
        <is>
          <t>Relaciones intraespecíficas</t>
        </is>
      </c>
      <c r="B120" t="inlineStr">
        <is>
          <t>posterior</t>
        </is>
      </c>
      <c r="C120" t="n">
        <v>7</v>
      </c>
      <c r="D120" t="n">
        <v>7</v>
      </c>
      <c r="M120" t="n">
        <v>4.5</v>
      </c>
      <c r="V120" t="n">
        <v>1</v>
      </c>
      <c r="AF120" t="n">
        <v>11</v>
      </c>
      <c r="AG120" t="inlineStr">
        <is>
          <t>sin_referente</t>
        </is>
      </c>
      <c r="AH120" t="inlineStr">
        <is>
          <t>posterior</t>
        </is>
      </c>
    </row>
    <row r="121">
      <c r="A121" t="inlineStr">
        <is>
          <t>Antibióticos y resistencia bacteriana</t>
        </is>
      </c>
      <c r="B121" t="inlineStr">
        <is>
          <t>posterior</t>
        </is>
      </c>
      <c r="C121" t="n">
        <v>9</v>
      </c>
      <c r="G121" t="n">
        <v>8.5</v>
      </c>
      <c r="H121" t="n">
        <v>4</v>
      </c>
      <c r="L121" t="n">
        <v>7.5</v>
      </c>
      <c r="P121" t="n">
        <v>1</v>
      </c>
      <c r="Q121" t="n">
        <v>1</v>
      </c>
      <c r="U121" t="n">
        <v>1</v>
      </c>
      <c r="Z121" t="n">
        <v>1</v>
      </c>
      <c r="AF121" t="n">
        <v>9</v>
      </c>
      <c r="AG121" t="inlineStr">
        <is>
          <t>posterior</t>
        </is>
      </c>
      <c r="AH121" t="inlineStr">
        <is>
          <t>posterior</t>
        </is>
      </c>
    </row>
    <row r="122">
      <c r="A122" t="inlineStr">
        <is>
          <t>Selección natural</t>
        </is>
      </c>
      <c r="B122" t="inlineStr">
        <is>
          <t>posterior</t>
        </is>
      </c>
      <c r="C122" t="n">
        <v>7</v>
      </c>
      <c r="D122" t="n">
        <v>7</v>
      </c>
      <c r="F122" t="n">
        <v>8</v>
      </c>
      <c r="G122" t="n">
        <v>4</v>
      </c>
      <c r="K122" t="n">
        <v>2</v>
      </c>
      <c r="L122" t="n">
        <v>6</v>
      </c>
      <c r="O122" t="n">
        <v>1</v>
      </c>
      <c r="P122" t="n">
        <v>1</v>
      </c>
      <c r="T122" t="n">
        <v>1</v>
      </c>
      <c r="U122" t="n">
        <v>1</v>
      </c>
      <c r="Z122" t="n">
        <v>1</v>
      </c>
      <c r="AF122" t="n">
        <v>9</v>
      </c>
      <c r="AG122" t="inlineStr">
        <is>
          <t>alineado</t>
        </is>
      </c>
      <c r="AH122" t="inlineStr">
        <is>
          <t>posterior</t>
        </is>
      </c>
    </row>
    <row r="123">
      <c r="A123" t="inlineStr">
        <is>
          <t>Sistema inmunitario</t>
        </is>
      </c>
      <c r="B123" t="inlineStr">
        <is>
          <t>posterior</t>
        </is>
      </c>
      <c r="C123" t="n">
        <v>9</v>
      </c>
      <c r="F123" t="n">
        <v>8</v>
      </c>
      <c r="G123" t="n">
        <v>8.5</v>
      </c>
      <c r="M123" t="n">
        <v>7</v>
      </c>
      <c r="O123" t="n">
        <v>1</v>
      </c>
      <c r="P123" t="n">
        <v>1</v>
      </c>
      <c r="V123" t="n">
        <v>1</v>
      </c>
      <c r="Z123" t="n">
        <v>1</v>
      </c>
      <c r="AF123" t="n">
        <v>9</v>
      </c>
      <c r="AG123" t="inlineStr">
        <is>
          <t>posterior</t>
        </is>
      </c>
      <c r="AH123" t="inlineStr">
        <is>
          <t>posterior</t>
        </is>
      </c>
    </row>
    <row r="124">
      <c r="A124" t="inlineStr">
        <is>
          <t>Termorregulación</t>
        </is>
      </c>
      <c r="B124" t="inlineStr">
        <is>
          <t>posterior</t>
        </is>
      </c>
      <c r="C124" t="n">
        <v>10</v>
      </c>
      <c r="F124" t="n">
        <v>8</v>
      </c>
      <c r="O124" t="n">
        <v>1</v>
      </c>
      <c r="AF124" t="n">
        <v>10</v>
      </c>
      <c r="AG124" t="inlineStr">
        <is>
          <t>posterior</t>
        </is>
      </c>
      <c r="AH124" t="inlineStr">
        <is>
          <t>posterior</t>
        </is>
      </c>
    </row>
    <row r="125">
      <c r="A125" t="inlineStr">
        <is>
          <t>Virus</t>
        </is>
      </c>
      <c r="B125" t="inlineStr">
        <is>
          <t>posterior</t>
        </is>
      </c>
      <c r="C125" t="n">
        <v>3</v>
      </c>
      <c r="D125" t="n">
        <v>3</v>
      </c>
      <c r="F125" t="n">
        <v>8</v>
      </c>
      <c r="G125" t="n">
        <v>8.5</v>
      </c>
      <c r="H125" t="n">
        <v>4</v>
      </c>
      <c r="L125" t="n">
        <v>7.5</v>
      </c>
      <c r="O125" t="n">
        <v>1</v>
      </c>
      <c r="P125" t="n">
        <v>1</v>
      </c>
      <c r="Q125" t="n">
        <v>1</v>
      </c>
      <c r="U125" t="n">
        <v>1</v>
      </c>
      <c r="AF125" t="n">
        <v>9</v>
      </c>
      <c r="AG125" t="inlineStr">
        <is>
          <t>sin_referente</t>
        </is>
      </c>
      <c r="AH125" t="inlineStr">
        <is>
          <t>posterior</t>
        </is>
      </c>
    </row>
    <row r="126">
      <c r="A126" t="inlineStr">
        <is>
          <t>Acervo génico y frecuencias alélicas</t>
        </is>
      </c>
      <c r="B126" t="inlineStr">
        <is>
          <t>sin_referente</t>
        </is>
      </c>
      <c r="C126" t="n">
        <v>7</v>
      </c>
      <c r="D126" t="n">
        <v>7</v>
      </c>
      <c r="G126" t="n">
        <v>8.5</v>
      </c>
      <c r="P126" t="n">
        <v>1</v>
      </c>
      <c r="AF126" t="n">
        <v>7</v>
      </c>
      <c r="AG126" t="inlineStr">
        <is>
          <t>sin_referente</t>
        </is>
      </c>
      <c r="AH126" t="inlineStr">
        <is>
          <t>sin_referente</t>
        </is>
      </c>
    </row>
    <row r="127">
      <c r="A127" t="inlineStr">
        <is>
          <t>ATP y energía en los sistemas vivos</t>
        </is>
      </c>
      <c r="B127" t="inlineStr">
        <is>
          <t>sin_referente</t>
        </is>
      </c>
      <c r="C127" t="n">
        <v>6</v>
      </c>
      <c r="D127" t="n">
        <v>6</v>
      </c>
      <c r="G127" t="n">
        <v>6</v>
      </c>
      <c r="H127" t="n">
        <v>7</v>
      </c>
      <c r="J127" t="n">
        <v>7</v>
      </c>
      <c r="P127" t="n">
        <v>1</v>
      </c>
      <c r="Q127" t="n">
        <v>1</v>
      </c>
      <c r="S127" t="n">
        <v>1</v>
      </c>
      <c r="AF127" t="n">
        <v>6</v>
      </c>
      <c r="AG127" t="inlineStr">
        <is>
          <t>sin_referente</t>
        </is>
      </c>
      <c r="AH127" t="inlineStr">
        <is>
          <t>alineado</t>
        </is>
      </c>
    </row>
    <row r="128">
      <c r="A128" t="inlineStr">
        <is>
          <t>Atributos de las poblaciones</t>
        </is>
      </c>
      <c r="B128" t="inlineStr">
        <is>
          <t>sin_referente</t>
        </is>
      </c>
      <c r="C128" t="n">
        <v>7</v>
      </c>
      <c r="D128" t="n">
        <v>7</v>
      </c>
      <c r="F128" t="n">
        <v>8</v>
      </c>
      <c r="G128" t="n">
        <v>8.5</v>
      </c>
      <c r="L128" t="n">
        <v>6</v>
      </c>
      <c r="M128" t="n">
        <v>4.5</v>
      </c>
      <c r="O128" t="n">
        <v>1</v>
      </c>
      <c r="P128" t="n">
        <v>1</v>
      </c>
      <c r="U128" t="n">
        <v>1</v>
      </c>
      <c r="V128" t="n">
        <v>1</v>
      </c>
      <c r="AF128" t="n">
        <v>7</v>
      </c>
      <c r="AG128" t="inlineStr">
        <is>
          <t>sin_referente</t>
        </is>
      </c>
      <c r="AH128" t="inlineStr">
        <is>
          <t>alineado</t>
        </is>
      </c>
    </row>
    <row r="129">
      <c r="A129" t="inlineStr">
        <is>
          <t>Biomas y clasificación de ambientes</t>
        </is>
      </c>
      <c r="B129" t="inlineStr">
        <is>
          <t>sin_referente</t>
        </is>
      </c>
      <c r="C129" t="n">
        <v>4</v>
      </c>
      <c r="D129" t="n">
        <v>4</v>
      </c>
      <c r="F129" t="n">
        <v>8</v>
      </c>
      <c r="H129" t="n">
        <v>3</v>
      </c>
      <c r="O129" t="n">
        <v>1</v>
      </c>
      <c r="Q129" t="n">
        <v>1</v>
      </c>
      <c r="AF129" t="n">
        <v>7</v>
      </c>
      <c r="AG129" t="inlineStr">
        <is>
          <t>sin_referente</t>
        </is>
      </c>
      <c r="AH129" t="inlineStr">
        <is>
          <t>sin_referente</t>
        </is>
      </c>
    </row>
    <row r="130">
      <c r="A130" t="inlineStr">
        <is>
          <t>Célula procariota y eucariota</t>
        </is>
      </c>
      <c r="B130" t="inlineStr">
        <is>
          <t>sin_referente</t>
        </is>
      </c>
      <c r="C130" t="n">
        <v>6</v>
      </c>
      <c r="D130" t="n">
        <v>6</v>
      </c>
      <c r="F130" t="n">
        <v>8</v>
      </c>
      <c r="G130" t="n">
        <v>8.5</v>
      </c>
      <c r="O130" t="n">
        <v>1</v>
      </c>
      <c r="P130" t="n">
        <v>1</v>
      </c>
      <c r="AF130" t="n">
        <v>6</v>
      </c>
      <c r="AG130" t="inlineStr">
        <is>
          <t>sin_referente</t>
        </is>
      </c>
      <c r="AH130" t="inlineStr">
        <is>
          <t>sin_referente</t>
        </is>
      </c>
    </row>
    <row r="131">
      <c r="A131" t="inlineStr">
        <is>
          <t>Conservación e inocuidad de los alimentos</t>
        </is>
      </c>
      <c r="B131" t="inlineStr">
        <is>
          <t>sin_referente</t>
        </is>
      </c>
      <c r="C131" t="n">
        <v>2</v>
      </c>
      <c r="D131" t="n">
        <v>2</v>
      </c>
      <c r="F131" t="n">
        <v>8</v>
      </c>
      <c r="H131" t="n">
        <v>2</v>
      </c>
      <c r="O131" t="n">
        <v>1</v>
      </c>
      <c r="Q131" t="n">
        <v>1</v>
      </c>
      <c r="AF131" t="n">
        <v>2</v>
      </c>
      <c r="AG131" t="inlineStr">
        <is>
          <t>sin_referente</t>
        </is>
      </c>
      <c r="AH131" t="inlineStr">
        <is>
          <t>sin_referente</t>
        </is>
      </c>
    </row>
    <row r="132">
      <c r="A132" t="inlineStr">
        <is>
          <t>Ecosistemas acuáticos y marinos</t>
        </is>
      </c>
      <c r="B132" t="inlineStr">
        <is>
          <t>sin_referente</t>
        </is>
      </c>
      <c r="C132" t="n">
        <v>3</v>
      </c>
      <c r="D132" t="n">
        <v>3</v>
      </c>
      <c r="H132" t="n">
        <v>7</v>
      </c>
      <c r="J132" t="n">
        <v>2.5</v>
      </c>
      <c r="Q132" t="n">
        <v>1</v>
      </c>
      <c r="S132" t="n">
        <v>1</v>
      </c>
      <c r="AF132" t="n">
        <v>4</v>
      </c>
      <c r="AG132" t="inlineStr">
        <is>
          <t>sin_referente</t>
        </is>
      </c>
      <c r="AH132" t="inlineStr">
        <is>
          <t>sin_referente</t>
        </is>
      </c>
    </row>
    <row r="133">
      <c r="A133" t="inlineStr">
        <is>
          <t>Ecosistemas naturales, rurales y urbanos</t>
        </is>
      </c>
      <c r="B133" t="inlineStr">
        <is>
          <t>sin_referente</t>
        </is>
      </c>
      <c r="C133" t="n">
        <v>2</v>
      </c>
      <c r="D133" t="n">
        <v>2</v>
      </c>
      <c r="H133" t="n">
        <v>7</v>
      </c>
      <c r="M133" t="n">
        <v>2.5</v>
      </c>
      <c r="Q133" t="n">
        <v>1</v>
      </c>
      <c r="V133" t="n">
        <v>1</v>
      </c>
      <c r="AF133" t="n">
        <v>2</v>
      </c>
      <c r="AG133" t="inlineStr">
        <is>
          <t>sin_referente</t>
        </is>
      </c>
      <c r="AH133" t="inlineStr">
        <is>
          <t>sin_referente</t>
        </is>
      </c>
    </row>
    <row r="134">
      <c r="A134" t="inlineStr">
        <is>
          <t>Estrategias reproductivas y supervivencia de la descendencia</t>
        </is>
      </c>
      <c r="B134" t="inlineStr">
        <is>
          <t>sin_referente</t>
        </is>
      </c>
      <c r="C134" t="n">
        <v>3</v>
      </c>
      <c r="D134" t="n">
        <v>3</v>
      </c>
      <c r="E134" t="n">
        <v>8</v>
      </c>
      <c r="F134" t="n">
        <v>8</v>
      </c>
      <c r="H134" t="n">
        <v>3</v>
      </c>
      <c r="L134" t="n">
        <v>6</v>
      </c>
      <c r="M134" t="n">
        <v>4.5</v>
      </c>
      <c r="N134" t="n">
        <v>1</v>
      </c>
      <c r="O134" t="n">
        <v>1</v>
      </c>
      <c r="Q134" t="n">
        <v>1</v>
      </c>
      <c r="U134" t="n">
        <v>1</v>
      </c>
      <c r="V134" t="n">
        <v>1</v>
      </c>
      <c r="AF134" t="n">
        <v>3</v>
      </c>
      <c r="AG134" t="inlineStr">
        <is>
          <t>sin_referente</t>
        </is>
      </c>
      <c r="AH134" t="inlineStr">
        <is>
          <t>adelantado</t>
        </is>
      </c>
    </row>
    <row r="135">
      <c r="A135" t="inlineStr">
        <is>
          <t>Estructura del ADN</t>
        </is>
      </c>
      <c r="B135" t="inlineStr">
        <is>
          <t>sin_referente</t>
        </is>
      </c>
      <c r="C135" t="n">
        <v>6</v>
      </c>
      <c r="D135" t="n">
        <v>6</v>
      </c>
      <c r="G135" t="n">
        <v>6</v>
      </c>
      <c r="P135" t="n">
        <v>1</v>
      </c>
      <c r="Z135" t="n">
        <v>1</v>
      </c>
      <c r="AF135" t="n">
        <v>6</v>
      </c>
      <c r="AG135" t="inlineStr">
        <is>
          <t>sin_referente</t>
        </is>
      </c>
      <c r="AH135" t="inlineStr">
        <is>
          <t>sin_referente</t>
        </is>
      </c>
    </row>
    <row r="136">
      <c r="A136" t="inlineStr">
        <is>
          <t>Fermentación y respiración anaerobia</t>
        </is>
      </c>
      <c r="B136" t="inlineStr">
        <is>
          <t>sin_referente</t>
        </is>
      </c>
      <c r="C136" t="n">
        <v>3</v>
      </c>
      <c r="D136" t="n">
        <v>3</v>
      </c>
      <c r="G136" t="n">
        <v>6</v>
      </c>
      <c r="M136" t="n">
        <v>7</v>
      </c>
      <c r="P136" t="n">
        <v>1</v>
      </c>
      <c r="V136" t="n">
        <v>1</v>
      </c>
      <c r="AF136" t="n">
        <v>3</v>
      </c>
      <c r="AG136" t="inlineStr">
        <is>
          <t>sin_referente</t>
        </is>
      </c>
      <c r="AH136" t="inlineStr">
        <is>
          <t>sin_referente</t>
        </is>
      </c>
    </row>
    <row r="137">
      <c r="A137" t="inlineStr">
        <is>
          <t>Filogenia y parentesco evolutivo</t>
        </is>
      </c>
      <c r="B137" t="inlineStr">
        <is>
          <t>sin_referente</t>
        </is>
      </c>
      <c r="C137" t="n">
        <v>7</v>
      </c>
      <c r="D137" t="n">
        <v>7</v>
      </c>
      <c r="F137" t="n">
        <v>8</v>
      </c>
      <c r="G137" t="n">
        <v>8.5</v>
      </c>
      <c r="O137" t="n">
        <v>1</v>
      </c>
      <c r="P137" t="n">
        <v>1</v>
      </c>
      <c r="AF137" t="n">
        <v>7</v>
      </c>
      <c r="AG137" t="inlineStr">
        <is>
          <t>sin_referente</t>
        </is>
      </c>
      <c r="AH137" t="inlineStr">
        <is>
          <t>sin_referente</t>
        </is>
      </c>
    </row>
    <row r="138">
      <c r="A138" t="inlineStr">
        <is>
          <t>Mecanismos de microevolución</t>
        </is>
      </c>
      <c r="B138" t="inlineStr">
        <is>
          <t>sin_referente</t>
        </is>
      </c>
      <c r="C138" t="n">
        <v>7</v>
      </c>
      <c r="D138" t="n">
        <v>7</v>
      </c>
      <c r="F138" t="n">
        <v>8</v>
      </c>
      <c r="O138" t="n">
        <v>1</v>
      </c>
      <c r="Z138" t="n">
        <v>1</v>
      </c>
      <c r="AF138" t="n">
        <v>7</v>
      </c>
      <c r="AG138" t="inlineStr">
        <is>
          <t>sin_referente</t>
        </is>
      </c>
      <c r="AH138" t="inlineStr">
        <is>
          <t>sin_referente</t>
        </is>
      </c>
    </row>
    <row r="139">
      <c r="A139" t="inlineStr">
        <is>
          <t>Medidas de biodiversidad</t>
        </is>
      </c>
      <c r="B139" t="inlineStr">
        <is>
          <t>sin_referente</t>
        </is>
      </c>
      <c r="C139" t="n">
        <v>7</v>
      </c>
      <c r="D139" t="n">
        <v>7</v>
      </c>
      <c r="H139" t="n">
        <v>7</v>
      </c>
      <c r="Q139" t="n">
        <v>1</v>
      </c>
      <c r="AF139" t="n">
        <v>7</v>
      </c>
      <c r="AG139" t="inlineStr">
        <is>
          <t>sin_referente</t>
        </is>
      </c>
      <c r="AH139" t="inlineStr">
        <is>
          <t>sin_referente</t>
        </is>
      </c>
    </row>
    <row r="140">
      <c r="A140" t="inlineStr">
        <is>
          <t>Membrana celular</t>
        </is>
      </c>
      <c r="B140" t="inlineStr">
        <is>
          <t>sin_referente</t>
        </is>
      </c>
      <c r="C140" t="n">
        <v>6</v>
      </c>
      <c r="D140" t="n">
        <v>6</v>
      </c>
      <c r="G140" t="n">
        <v>6</v>
      </c>
      <c r="K140" t="n">
        <v>7</v>
      </c>
      <c r="P140" t="n">
        <v>1</v>
      </c>
      <c r="T140" t="n">
        <v>1</v>
      </c>
      <c r="Z140" t="n">
        <v>1</v>
      </c>
      <c r="AF140" t="n">
        <v>6</v>
      </c>
      <c r="AG140" t="inlineStr">
        <is>
          <t>sin_referente</t>
        </is>
      </c>
      <c r="AH140" t="inlineStr">
        <is>
          <t>sin_referente</t>
        </is>
      </c>
    </row>
    <row r="141">
      <c r="A141" t="inlineStr">
        <is>
          <t>Modelos ecológicos basados en muestreo</t>
        </is>
      </c>
      <c r="B141" t="inlineStr">
        <is>
          <t>sin_referente</t>
        </is>
      </c>
      <c r="C141" t="n">
        <v>7</v>
      </c>
      <c r="D141" t="n">
        <v>7</v>
      </c>
      <c r="G141" t="n">
        <v>8.5</v>
      </c>
      <c r="P141" t="n">
        <v>1</v>
      </c>
      <c r="AF141" t="n">
        <v>7</v>
      </c>
      <c r="AG141" t="inlineStr">
        <is>
          <t>sin_referente</t>
        </is>
      </c>
      <c r="AH141" t="inlineStr">
        <is>
          <t>sin_referente</t>
        </is>
      </c>
    </row>
    <row r="142">
      <c r="A142" t="inlineStr">
        <is>
          <t>Nicho ecológico y exclusión competitiva</t>
        </is>
      </c>
      <c r="B142" t="inlineStr">
        <is>
          <t>sin_referente</t>
        </is>
      </c>
      <c r="C142" t="n">
        <v>4</v>
      </c>
      <c r="D142" t="n">
        <v>4</v>
      </c>
      <c r="M142" t="n">
        <v>7</v>
      </c>
      <c r="V142" t="n">
        <v>1</v>
      </c>
      <c r="AF142" t="n">
        <v>4</v>
      </c>
      <c r="AG142" t="inlineStr">
        <is>
          <t>sin_referente</t>
        </is>
      </c>
      <c r="AH142" t="inlineStr">
        <is>
          <t>sin_referente</t>
        </is>
      </c>
    </row>
    <row r="143">
      <c r="A143" t="inlineStr">
        <is>
          <t>Organelos de la célula eucariota</t>
        </is>
      </c>
      <c r="B143" t="inlineStr">
        <is>
          <t>sin_referente</t>
        </is>
      </c>
      <c r="C143" t="n">
        <v>6</v>
      </c>
      <c r="D143" t="n">
        <v>6</v>
      </c>
      <c r="E143" t="n">
        <v>7</v>
      </c>
      <c r="G143" t="n">
        <v>6</v>
      </c>
      <c r="K143" t="n">
        <v>7</v>
      </c>
      <c r="L143" t="n">
        <v>7.5</v>
      </c>
      <c r="N143" t="n">
        <v>1</v>
      </c>
      <c r="P143" t="n">
        <v>1</v>
      </c>
      <c r="T143" t="n">
        <v>1</v>
      </c>
      <c r="U143" t="n">
        <v>1</v>
      </c>
      <c r="AF143" t="n">
        <v>6</v>
      </c>
      <c r="AG143" t="inlineStr">
        <is>
          <t>sin_referente</t>
        </is>
      </c>
      <c r="AH143" t="inlineStr">
        <is>
          <t>alineado</t>
        </is>
      </c>
    </row>
    <row r="144">
      <c r="A144" t="inlineStr">
        <is>
          <t>Osmorregulación y equilibrio hídrico</t>
        </is>
      </c>
      <c r="B144" t="inlineStr">
        <is>
          <t>sin_referente</t>
        </is>
      </c>
      <c r="C144" t="n">
        <v>7</v>
      </c>
      <c r="D144" t="n">
        <v>7</v>
      </c>
      <c r="AF144" t="n">
        <v>8</v>
      </c>
      <c r="AG144" t="inlineStr">
        <is>
          <t>sin_referente</t>
        </is>
      </c>
      <c r="AH144" t="inlineStr">
        <is>
          <t>sin_referente</t>
        </is>
      </c>
    </row>
    <row r="145">
      <c r="A145" t="inlineStr">
        <is>
          <t>PCR y electroforesis en gel</t>
        </is>
      </c>
      <c r="B145" t="inlineStr">
        <is>
          <t>sin_referente</t>
        </is>
      </c>
      <c r="C145" t="n">
        <v>7</v>
      </c>
      <c r="D145" t="n">
        <v>7</v>
      </c>
      <c r="H145" t="n">
        <v>7</v>
      </c>
      <c r="Q145" t="n">
        <v>1</v>
      </c>
      <c r="AF145" t="n">
        <v>7</v>
      </c>
      <c r="AG145" t="inlineStr">
        <is>
          <t>sin_referente</t>
        </is>
      </c>
      <c r="AH145" t="inlineStr">
        <is>
          <t>sin_referente</t>
        </is>
      </c>
    </row>
    <row r="146">
      <c r="A146" t="inlineStr">
        <is>
          <t>Replicación del ADN</t>
        </is>
      </c>
      <c r="B146" t="inlineStr">
        <is>
          <t>sin_referente</t>
        </is>
      </c>
      <c r="C146" t="n">
        <v>7</v>
      </c>
      <c r="D146" t="n">
        <v>7</v>
      </c>
      <c r="AF146" t="n">
        <v>7</v>
      </c>
      <c r="AG146" t="inlineStr">
        <is>
          <t>sin_referente</t>
        </is>
      </c>
      <c r="AH146" t="inlineStr">
        <is>
          <t>sin_referente</t>
        </is>
      </c>
    </row>
    <row r="147">
      <c r="A147" t="inlineStr">
        <is>
          <t>Selección artificial</t>
        </is>
      </c>
      <c r="B147" t="inlineStr">
        <is>
          <t>sin_referente</t>
        </is>
      </c>
      <c r="C147" t="n">
        <v>2</v>
      </c>
      <c r="D147" t="n">
        <v>2</v>
      </c>
      <c r="G147" t="n">
        <v>8.5</v>
      </c>
      <c r="M147" t="n">
        <v>4.5</v>
      </c>
      <c r="P147" t="n">
        <v>1</v>
      </c>
      <c r="V147" t="n">
        <v>1</v>
      </c>
      <c r="AF147" t="n">
        <v>2</v>
      </c>
      <c r="AG147" t="inlineStr">
        <is>
          <t>sin_referente</t>
        </is>
      </c>
      <c r="AH147" t="inlineStr">
        <is>
          <t>sin_referente</t>
        </is>
      </c>
    </row>
    <row r="148">
      <c r="A148" t="inlineStr">
        <is>
          <t>Síntesis de proteínas</t>
        </is>
      </c>
      <c r="B148" t="inlineStr">
        <is>
          <t>sin_referente</t>
        </is>
      </c>
      <c r="C148" t="n">
        <v>6</v>
      </c>
      <c r="D148" t="n">
        <v>6</v>
      </c>
      <c r="Z148" t="n">
        <v>1</v>
      </c>
      <c r="AF148" t="n">
        <v>7</v>
      </c>
      <c r="AG148" t="inlineStr">
        <is>
          <t>sin_referente</t>
        </is>
      </c>
      <c r="AH148" t="inlineStr">
        <is>
          <t>sin_referente</t>
        </is>
      </c>
    </row>
    <row r="149">
      <c r="A149" t="inlineStr">
        <is>
          <t>Sucesión ecológica</t>
        </is>
      </c>
      <c r="B149" t="inlineStr">
        <is>
          <t>sin_referente</t>
        </is>
      </c>
      <c r="C149" t="n">
        <v>7</v>
      </c>
      <c r="D149" t="n">
        <v>7</v>
      </c>
      <c r="K149" t="n">
        <v>5</v>
      </c>
      <c r="M149" t="n">
        <v>7</v>
      </c>
      <c r="T149" t="n">
        <v>1</v>
      </c>
      <c r="V149" t="n">
        <v>1</v>
      </c>
      <c r="AF149" t="n">
        <v>7</v>
      </c>
      <c r="AG149" t="inlineStr">
        <is>
          <t>sin_referente</t>
        </is>
      </c>
      <c r="AH149" t="inlineStr">
        <is>
          <t>sin_referente</t>
        </is>
      </c>
    </row>
    <row r="150">
      <c r="A150" t="inlineStr">
        <is>
          <t>Transporte activo y endocitosis</t>
        </is>
      </c>
      <c r="B150" t="inlineStr">
        <is>
          <t>sin_referente</t>
        </is>
      </c>
      <c r="C150" t="n">
        <v>6</v>
      </c>
      <c r="D150" t="n">
        <v>6</v>
      </c>
      <c r="G150" t="n">
        <v>8.5</v>
      </c>
      <c r="P150" t="n">
        <v>1</v>
      </c>
      <c r="AF150" t="n">
        <v>6</v>
      </c>
      <c r="AG150" t="inlineStr">
        <is>
          <t>sin_referente</t>
        </is>
      </c>
      <c r="AH150" t="inlineStr">
        <is>
          <t>sin_referente</t>
        </is>
      </c>
    </row>
    <row r="151">
      <c r="A151" t="inlineStr">
        <is>
          <t>Tropismos y hormonas vegetales</t>
        </is>
      </c>
      <c r="B151" t="inlineStr">
        <is>
          <t>sin_referente</t>
        </is>
      </c>
      <c r="C151" t="n">
        <v>3</v>
      </c>
      <c r="D151" t="n">
        <v>3</v>
      </c>
      <c r="K151" t="n">
        <v>2</v>
      </c>
      <c r="T151" t="n">
        <v>1</v>
      </c>
      <c r="AF151" t="n">
        <v>3</v>
      </c>
      <c r="AG151" t="inlineStr">
        <is>
          <t>sin_referente</t>
        </is>
      </c>
      <c r="AH151" t="inlineStr">
        <is>
          <t>sin_referente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SV",""),IF(G80="",IF(B80&gt;8,IF(C80&gt;=5,"SV tarde","despues del tramo"),IF(H80&gt;=5,"no retomado en 2-8","previo")),IF(B80&lt;2,"retomado",IF(AND(C80&lt;=1,E80&gt;=3),"solo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SV",""),IF(G81="",IF(B81&gt;8,IF(C81&gt;=5,"SV tarde","despues del tramo"),IF(H81&gt;=5,"no retomado en 2-8","previo")),IF(B81&lt;2,"retomado",IF(AND(C81&lt;=1,E81&gt;=3),"solo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SV",""),IF(G82="",IF(B82&gt;8,IF(C82&gt;=5,"SV tarde","despues del tramo"),IF(H82&gt;=5,"no retomado en 2-8","previo")),IF(B82&lt;2,"retomado",IF(AND(C82&lt;=1,E82&gt;=3),"solo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SV",""),IF(G83="",IF(B83&gt;8,IF(C83&gt;=5,"SV tarde","despues del tramo"),IF(H83&gt;=5,"no retomado en 2-8","previo")),IF(B83&lt;2,"retomado",IF(AND(C83&lt;=1,E83&gt;=3),"solo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SV",""),IF(G84="",IF(B84&gt;8,IF(C84&gt;=5,"SV tarde","despues del tramo"),IF(H84&gt;=5,"no retomado en 2-8","previo")),IF(B84&lt;2,"retomado",IF(AND(C84&lt;=1,E84&gt;=3),"solo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SV",""),IF(G85="",IF(B85&gt;8,IF(C85&gt;=5,"SV tarde","despues del tramo"),IF(H85&gt;=5,"no retomado en 2-8","previo")),IF(B85&lt;2,"retomado",IF(AND(C85&lt;=1,E85&gt;=3),"solo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SV",""),IF(G86="",IF(B86&gt;8,IF(C86&gt;=5,"SV tarde","despues del tramo"),IF(H86&gt;=5,"no retomado en 2-8","previo")),IF(B86&lt;2,"retomado",IF(AND(C86&lt;=1,E86&gt;=3),"solo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SV",""),IF(G87="",IF(B87&gt;8,IF(C87&gt;=5,"SV tarde","despues del tramo"),IF(H87&gt;=5,"no retomado en 2-8","previo")),IF(B87&lt;2,"retomado",IF(AND(C87&lt;=1,E87&gt;=3),"solo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SV",""),IF(G88="",IF(B88&gt;8,IF(C88&gt;=5,"SV tarde","despues del tramo"),IF(H88&gt;=5,"no retomado en 2-8","previo")),IF(B88&lt;2,"retomado",IF(AND(C88&lt;=1,E88&gt;=3),"solo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SV",""),IF(G89="",IF(B89&gt;8,IF(C89&gt;=5,"SV tarde","despues del tramo"),IF(H89&gt;=5,"no retomado en 2-8","previo")),IF(B89&lt;2,"retomado",IF(AND(C89&lt;=1,E89&gt;=3),"solo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SV",""),IF(G90="",IF(B90&gt;8,IF(C90&gt;=5,"SV tarde","despues del tramo"),IF(H90&gt;=5,"no retomado en 2-8","previo")),IF(B90&lt;2,"retomado",IF(AND(C90&lt;=1,E90&gt;=3),"solo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SV",""),IF(G91="",IF(B91&gt;8,IF(C91&gt;=5,"SV tarde","despues del tramo"),IF(H91&gt;=5,"no retomado en 2-8","previo")),IF(B91&lt;2,"retomado",IF(AND(C91&lt;=1,E91&gt;=3),"solo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SV",""),IF(G92="",IF(B92&gt;8,IF(C92&gt;=5,"SV tarde","despues del tramo"),IF(H92&gt;=5,"no retomado en 2-8","previo")),IF(B92&lt;2,"retomado",IF(AND(C92&lt;=1,E92&gt;=3),"solo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SV",""),IF(G93="",IF(B93&gt;8,IF(C93&gt;=5,"SV tarde","despues del tramo"),IF(H93&gt;=5,"no retomado en 2-8","previo")),IF(B93&lt;2,"retomado",IF(AND(C93&lt;=1,E93&gt;=3),"solo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SV",""),IF(G94="",IF(B94&gt;8,IF(C94&gt;=5,"SV tarde","despues del tramo"),IF(H94&gt;=5,"no retomado en 2-8","previo")),IF(B94&lt;2,"retomado",IF(AND(C94&lt;=1,E94&gt;=3),"solo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SV",""),IF(G95="",IF(B95&gt;8,IF(C95&gt;=5,"SV tarde","despues del tramo"),IF(H95&gt;=5,"no retomado en 2-8","previo")),IF(B95&lt;2,"retomado",IF(AND(C95&lt;=1,E95&gt;=3),"solo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SV",""),IF(G96="",IF(B96&gt;8,IF(C96&gt;=5,"SV tarde","despues del tramo"),IF(H96&gt;=5,"no retomado en 2-8","previo")),IF(B96&lt;2,"retomado",IF(AND(C96&lt;=1,E96&gt;=3),"solo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SV",""),IF(G97="",IF(B97&gt;8,IF(C97&gt;=5,"SV tarde","despues del tramo"),IF(H97&gt;=5,"no retomado en 2-8","previo")),IF(B97&lt;2,"retomado",IF(AND(C97&lt;=1,E97&gt;=3),"solo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SV",""),IF(G98="",IF(B98&gt;8,IF(C98&gt;=5,"SV tarde","despues del tramo"),IF(H98&gt;=5,"no retomado en 2-8","previo")),IF(B98&lt;2,"retomado",IF(AND(C98&lt;=1,E98&gt;=3),"solo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SV",""),IF(G99="",IF(B99&gt;8,IF(C99&gt;=5,"SV tarde","despues del tramo"),IF(H99&gt;=5,"no retomado en 2-8","previo")),IF(B99&lt;2,"retomado",IF(AND(C99&lt;=1,E99&gt;=3),"solo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SV",""),IF(G100="",IF(B100&gt;8,IF(C100&gt;=5,"SV tarde","despues del tramo"),IF(H100&gt;=5,"no retomado en 2-8","previo")),IF(B100&lt;2,"retomado",IF(AND(C100&lt;=1,E100&gt;=3),"solo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SV",""),IF(G101="",IF(B101&gt;8,IF(C101&gt;=5,"SV tarde","despues del tramo"),IF(H101&gt;=5,"no retomado en 2-8","previo")),IF(B101&lt;2,"retomado",IF(AND(C101&lt;=1,E101&gt;=3),"solo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SV",""),IF(G102="",IF(B102&gt;8,IF(C102&gt;=5,"SV tarde","despues del tramo"),IF(H102&gt;=5,"no retomado en 2-8","previo")),IF(B102&lt;2,"retomado",IF(AND(C102&lt;=1,E102&gt;=3),"solo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SV",""),IF(G103="",IF(B103&gt;8,IF(C103&gt;=5,"SV tarde","despues del tramo"),IF(H103&gt;=5,"no retomado en 2-8","previo")),IF(B103&lt;2,"retomado",IF(AND(C103&lt;=1,E103&gt;=3),"solo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SV",""),IF(G104="",IF(B104&gt;8,IF(C104&gt;=5,"SV tarde","despues del tramo"),IF(H104&gt;=5,"no retomado en 2-8","previo")),IF(B104&lt;2,"retomado",IF(AND(C104&lt;=1,E104&gt;=3),"solo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SV",""),IF(G105="",IF(B105&gt;8,IF(C105&gt;=5,"SV tarde","despues del tramo"),IF(H105&gt;=5,"no retomado en 2-8","previo")),IF(B105&lt;2,"retomado",IF(AND(C105&lt;=1,E105&gt;=3),"solo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SV",""),IF(G106="",IF(B106&gt;8,IF(C106&gt;=5,"SV tarde","despues del tramo"),IF(H106&gt;=5,"no retomado en 2-8","previo")),IF(B106&lt;2,"retomado",IF(AND(C106&lt;=1,E106&gt;=3),"solo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SV",""),IF(G107="",IF(B107&gt;8,IF(C107&gt;=5,"SV tarde","despues del tramo"),IF(H107&gt;=5,"no retomado en 2-8","previo")),IF(B107&lt;2,"retomado",IF(AND(C107&lt;=1,E107&gt;=3),"solo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SV",""),IF(G108="",IF(B108&gt;8,IF(C108&gt;=5,"SV tarde","despues del tramo"),IF(H108&gt;=5,"no retomado en 2-8","previo")),IF(B108&lt;2,"retomado",IF(AND(C108&lt;=1,E108&gt;=3),"solo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SV",""),IF(G109="",IF(B109&gt;8,IF(C109&gt;=5,"SV tarde","despues del tramo"),IF(H109&gt;=5,"no retomado en 2-8","previo")),IF(B109&lt;2,"retomado",IF(AND(C109&lt;=1,E109&gt;=3),"solo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SV",""),IF(G110="",IF(B110&gt;8,IF(C110&gt;=5,"SV tarde","despues del tramo"),IF(H110&gt;=5,"no retomado en 2-8","previo")),IF(B110&lt;2,"retomado",IF(AND(C110&lt;=1,E110&gt;=3),"solo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SV",""),IF(G111="",IF(B111&gt;8,IF(C111&gt;=5,"SV tarde","despues del tramo"),IF(H111&gt;=5,"no retomado en 2-8","previo")),IF(B111&lt;2,"retomado",IF(AND(C111&lt;=1,E111&gt;=3),"solo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SV",""),IF(G112="",IF(B112&gt;8,IF(C112&gt;=5,"SV tarde","despues del tramo"),IF(H112&gt;=5,"no retomado en 2-8","previo")),IF(B112&lt;2,"retomado",IF(AND(C112&lt;=1,E112&gt;=3),"solo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SV",""),IF(G113="",IF(B113&gt;8,IF(C113&gt;=5,"SV tarde","despues del tramo"),IF(H113&gt;=5,"no retomado en 2-8","previo")),IF(B113&lt;2,"retomado",IF(AND(C113&lt;=1,E113&gt;=3),"solo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SV",""),IF(G114="",IF(B114&gt;8,IF(C114&gt;=5,"SV tarde","despues del tramo"),IF(H114&gt;=5,"no retomado en 2-8","previo")),IF(B114&lt;2,"retomado",IF(AND(C114&lt;=1,E114&gt;=3),"solo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SV",""),IF(G115="",IF(B115&gt;8,IF(C115&gt;=5,"SV tarde","despues del tramo"),IF(H115&gt;=5,"no retomado en 2-8","previo")),IF(B115&lt;2,"retomado",IF(AND(C115&lt;=1,E115&gt;=3),"solo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SV",""),IF(G116="",IF(B116&gt;8,IF(C116&gt;=5,"SV tarde","despues del tramo"),IF(H116&gt;=5,"no retomado en 2-8","previo")),IF(B116&lt;2,"retomado",IF(AND(C116&lt;=1,E116&gt;=3),"solo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SV",""),IF(G117="",IF(B117&gt;8,IF(C117&gt;=5,"SV tarde","despues del tramo"),IF(H117&gt;=5,"no retomado en 2-8","previo")),IF(B117&lt;2,"retomado",IF(AND(C117&lt;=1,E117&gt;=3),"solo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SV",""),IF(G118="",IF(B118&gt;8,IF(C118&gt;=5,"SV tarde","despues del tramo"),IF(H118&gt;=5,"no retomado en 2-8","previo")),IF(B118&lt;2,"retomado",IF(AND(C118&lt;=1,E118&gt;=3),"solo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SV",""),IF(G119="",IF(B119&gt;8,IF(C119&gt;=5,"SV tarde","despues del tramo"),IF(H119&gt;=5,"no retomado en 2-8","previo")),IF(B119&lt;2,"retomado",IF(AND(C119&lt;=1,E119&gt;=3),"solo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SV",""),IF(G120="",IF(B120&gt;8,IF(C120&gt;=5,"SV tarde","despues del tramo"),IF(H120&gt;=5,"no retomado en 2-8","previo")),IF(B120&lt;2,"retomado",IF(AND(C120&lt;=1,E120&gt;=3),"solo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SV",""),IF(G121="",IF(B121&gt;8,IF(C121&gt;=5,"SV tarde","despues del tramo"),IF(H121&gt;=5,"no retomado en 2-8","previo")),IF(B121&lt;2,"retomado",IF(AND(C121&lt;=1,E121&gt;=3),"solo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SV",""),IF(G122="",IF(B122&gt;8,IF(C122&gt;=5,"SV tarde","despues del tramo"),IF(H122&gt;=5,"no retomado en 2-8","previo")),IF(B122&lt;2,"retomado",IF(AND(C122&lt;=1,E122&gt;=3),"solo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SV",""),IF(G123="",IF(B123&gt;8,IF(C123&gt;=5,"SV tarde","despues del tramo"),IF(H123&gt;=5,"no retomado en 2-8","previo")),IF(B123&lt;2,"retomado",IF(AND(C123&lt;=1,E123&gt;=3),"solo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SV",""),IF(G124="",IF(B124&gt;8,IF(C124&gt;=5,"SV tarde","despues del tramo"),IF(H124&gt;=5,"no retomado en 2-8","previo")),IF(B124&lt;2,"retomado",IF(AND(C124&lt;=1,E124&gt;=3),"solo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SV",""),IF(G125="",IF(B125&gt;8,IF(C125&gt;=5,"SV tarde","despues del tramo"),IF(H125&gt;=5,"no retomado en 2-8","previo")),IF(B125&lt;2,"retomado",IF(AND(C125&lt;=1,E125&gt;=3),"solo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SV",""),IF(G126="",IF(B126&gt;8,IF(C126&gt;=5,"SV tarde","despues del tramo"),IF(H126&gt;=5,"no retomado en 2-8","previo")),IF(B126&lt;2,"retomado",IF(AND(C126&lt;=1,E126&gt;=3),"solo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SV",""),IF(G127="",IF(B127&gt;8,IF(C127&gt;=5,"SV tarde","despues del tramo"),IF(H127&gt;=5,"no retomado en 2-8","previo")),IF(B127&lt;2,"retomado",IF(AND(C127&lt;=1,E127&gt;=3),"solo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SV",""),IF(G128="",IF(B128&gt;8,IF(C128&gt;=5,"SV tarde","despues del tramo"),IF(H128&gt;=5,"no retomado en 2-8","previo")),IF(B128&lt;2,"retomado",IF(AND(C128&lt;=1,E128&gt;=3),"solo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SV",""),IF(G129="",IF(B129&gt;8,IF(C129&gt;=5,"SV tarde","despues del tramo"),IF(H129&gt;=5,"no retomado en 2-8","previo")),IF(B129&lt;2,"retomado",IF(AND(C129&lt;=1,E129&gt;=3),"solo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SV",""),IF(G130="",IF(B130&gt;8,IF(C130&gt;=5,"SV tarde","despues del tramo"),IF(H130&gt;=5,"no retomado en 2-8","previo")),IF(B130&lt;2,"retomado",IF(AND(C130&lt;=1,E130&gt;=3),"solo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SV",""),IF(G131="",IF(B131&gt;8,IF(C131&gt;=5,"SV tarde","despues del tramo"),IF(H131&gt;=5,"no retomado en 2-8","previo")),IF(B131&lt;2,"retomado",IF(AND(C131&lt;=1,E131&gt;=3),"solo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SV",""),IF(G132="",IF(B132&gt;8,IF(C132&gt;=5,"SV tarde","despues del tramo"),IF(H132&gt;=5,"no retomado en 2-8","previo")),IF(B132&lt;2,"retomado",IF(AND(C132&lt;=1,E132&gt;=3),"solo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SV",""),IF(G133="",IF(B133&gt;8,IF(C133&gt;=5,"SV tarde","despues del tramo"),IF(H133&gt;=5,"no retomado en 2-8","previo")),IF(B133&lt;2,"retomado",IF(AND(C133&lt;=1,E133&gt;=3),"solo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SV",""),IF(G134="",IF(B134&gt;8,IF(C134&gt;=5,"SV tarde","despues del tramo"),IF(H134&gt;=5,"no retomado en 2-8","previo")),IF(B134&lt;2,"retomado",IF(AND(C134&lt;=1,E134&gt;=3),"solo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SV",""),IF(G135="",IF(B135&gt;8,IF(C135&gt;=5,"SV tarde","despues del tramo"),IF(H135&gt;=5,"no retomado en 2-8","previo")),IF(B135&lt;2,"retomado",IF(AND(C135&lt;=1,E135&gt;=3),"solo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SV",""),IF(G136="",IF(B136&gt;8,IF(C136&gt;=5,"SV tarde","despues del tramo"),IF(H136&gt;=5,"no retomado en 2-8","previo")),IF(B136&lt;2,"retomado",IF(AND(C136&lt;=1,E136&gt;=3),"solo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SV",""),IF(G137="",IF(B137&gt;8,IF(C137&gt;=5,"SV tarde","despues del tramo"),IF(H137&gt;=5,"no retomado en 2-8","previo")),IF(B137&lt;2,"retomado",IF(AND(C137&lt;=1,E137&gt;=3),"solo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SV",""),IF(G138="",IF(B138&gt;8,IF(C138&gt;=5,"SV tarde","despues del tramo"),IF(H138&gt;=5,"no retomado en 2-8","previo")),IF(B138&lt;2,"retomado",IF(AND(C138&lt;=1,E138&gt;=3),"solo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SV",""),IF(G139="",IF(B139&gt;8,IF(C139&gt;=5,"SV tarde","despues del tramo"),IF(H139&gt;=5,"no retomado en 2-8","previo")),IF(B139&lt;2,"retomado",IF(AND(C139&lt;=1,E139&gt;=3),"solo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SV",""),IF(G140="",IF(B140&gt;8,IF(C140&gt;=5,"SV tarde","despues del tramo"),IF(H140&gt;=5,"no retomado en 2-8","previo")),IF(B140&lt;2,"retomado",IF(AND(C140&lt;=1,E140&gt;=3),"solo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SV",""),IF(G141="",IF(B141&gt;8,IF(C141&gt;=5,"SV tarde","despues del tramo"),IF(H141&gt;=5,"no retomado en 2-8","previo")),IF(B141&lt;2,"retomado",IF(AND(C141&lt;=1,E141&gt;=3),"solo especializacion",IF(F141="","coherente",IF(F141&lt;=-1.5,"SV adelantado",IF(F141&gt;=2,"SV tarde","coherente")))))))</f>
        <v/>
      </c>
      <c r="J141">
        <f>Datos!B141</f>
        <v/>
      </c>
    </row>
    <row r="142">
      <c r="A142">
        <f>Datos!A142</f>
        <v/>
      </c>
      <c r="B142">
        <f>IF(Datos!C142="","",Datos!C142)</f>
        <v/>
      </c>
      <c r="C142">
        <f>COUNT(Datos!E142:M142)</f>
        <v/>
      </c>
      <c r="D142">
        <f>IF(C142=0,"",MEDIAN(Datos!E142:M142))</f>
        <v/>
      </c>
      <c r="E142">
        <f>COUNT(Datos!W142:AE142)</f>
        <v/>
      </c>
      <c r="F142">
        <f>IF(OR(B142="",D142=""),"",B142-D142)</f>
        <v/>
      </c>
      <c r="G142">
        <f>IF(Datos!D142="","",Datos!D142)</f>
        <v/>
      </c>
      <c r="H142">
        <f>COUNT(Datos!N142:V142)</f>
        <v/>
      </c>
      <c r="I142">
        <f>IF(B142="",IF(C142&gt;=5,"falta en SV",""),IF(G142="",IF(B142&gt;8,IF(C142&gt;=5,"SV tarde","despues del tramo"),IF(H142&gt;=5,"no retomado en 2-8","previo")),IF(B142&lt;2,"retomado",IF(AND(C142&lt;=1,E142&gt;=3),"solo especializacion",IF(F142="","coherente",IF(F142&lt;=-1.5,"SV adelantado",IF(F142&gt;=2,"SV tarde","coherente")))))))</f>
        <v/>
      </c>
      <c r="J142">
        <f>Datos!B142</f>
        <v/>
      </c>
    </row>
    <row r="143">
      <c r="A143">
        <f>Datos!A143</f>
        <v/>
      </c>
      <c r="B143">
        <f>IF(Datos!C143="","",Datos!C143)</f>
        <v/>
      </c>
      <c r="C143">
        <f>COUNT(Datos!E143:M143)</f>
        <v/>
      </c>
      <c r="D143">
        <f>IF(C143=0,"",MEDIAN(Datos!E143:M143))</f>
        <v/>
      </c>
      <c r="E143">
        <f>COUNT(Datos!W143:AE143)</f>
        <v/>
      </c>
      <c r="F143">
        <f>IF(OR(B143="",D143=""),"",B143-D143)</f>
        <v/>
      </c>
      <c r="G143">
        <f>IF(Datos!D143="","",Datos!D143)</f>
        <v/>
      </c>
      <c r="H143">
        <f>COUNT(Datos!N143:V143)</f>
        <v/>
      </c>
      <c r="I143">
        <f>IF(B143="",IF(C143&gt;=5,"falta en SV",""),IF(G143="",IF(B143&gt;8,IF(C143&gt;=5,"SV tarde","despues del tramo"),IF(H143&gt;=5,"no retomado en 2-8","previo")),IF(B143&lt;2,"retomado",IF(AND(C143&lt;=1,E143&gt;=3),"solo especializacion",IF(F143="","coherente",IF(F143&lt;=-1.5,"SV adelantado",IF(F143&gt;=2,"SV tarde","coherente")))))))</f>
        <v/>
      </c>
      <c r="J143">
        <f>Datos!B143</f>
        <v/>
      </c>
    </row>
    <row r="144">
      <c r="A144">
        <f>Datos!A144</f>
        <v/>
      </c>
      <c r="B144">
        <f>IF(Datos!C144="","",Datos!C144)</f>
        <v/>
      </c>
      <c r="C144">
        <f>COUNT(Datos!E144:M144)</f>
        <v/>
      </c>
      <c r="D144">
        <f>IF(C144=0,"",MEDIAN(Datos!E144:M144))</f>
        <v/>
      </c>
      <c r="E144">
        <f>COUNT(Datos!W144:AE144)</f>
        <v/>
      </c>
      <c r="F144">
        <f>IF(OR(B144="",D144=""),"",B144-D144)</f>
        <v/>
      </c>
      <c r="G144">
        <f>IF(Datos!D144="","",Datos!D144)</f>
        <v/>
      </c>
      <c r="H144">
        <f>COUNT(Datos!N144:V144)</f>
        <v/>
      </c>
      <c r="I144">
        <f>IF(B144="",IF(C144&gt;=5,"falta en SV",""),IF(G144="",IF(B144&gt;8,IF(C144&gt;=5,"SV tarde","despues del tramo"),IF(H144&gt;=5,"no retomado en 2-8","previo")),IF(B144&lt;2,"retomado",IF(AND(C144&lt;=1,E144&gt;=3),"solo especializacion",IF(F144="","coherente",IF(F144&lt;=-1.5,"SV adelantado",IF(F144&gt;=2,"SV tarde","coherente")))))))</f>
        <v/>
      </c>
      <c r="J144">
        <f>Datos!B144</f>
        <v/>
      </c>
    </row>
    <row r="145">
      <c r="A145">
        <f>Datos!A145</f>
        <v/>
      </c>
      <c r="B145">
        <f>IF(Datos!C145="","",Datos!C145)</f>
        <v/>
      </c>
      <c r="C145">
        <f>COUNT(Datos!E145:M145)</f>
        <v/>
      </c>
      <c r="D145">
        <f>IF(C145=0,"",MEDIAN(Datos!E145:M145))</f>
        <v/>
      </c>
      <c r="E145">
        <f>COUNT(Datos!W145:AE145)</f>
        <v/>
      </c>
      <c r="F145">
        <f>IF(OR(B145="",D145=""),"",B145-D145)</f>
        <v/>
      </c>
      <c r="G145">
        <f>IF(Datos!D145="","",Datos!D145)</f>
        <v/>
      </c>
      <c r="H145">
        <f>COUNT(Datos!N145:V145)</f>
        <v/>
      </c>
      <c r="I145">
        <f>IF(B145="",IF(C145&gt;=5,"falta en SV",""),IF(G145="",IF(B145&gt;8,IF(C145&gt;=5,"SV tarde","despues del tramo"),IF(H145&gt;=5,"no retomado en 2-8","previo")),IF(B145&lt;2,"retomado",IF(AND(C145&lt;=1,E145&gt;=3),"solo especializacion",IF(F145="","coherente",IF(F145&lt;=-1.5,"SV adelantado",IF(F145&gt;=2,"SV tarde","coherente")))))))</f>
        <v/>
      </c>
      <c r="J145">
        <f>Datos!B145</f>
        <v/>
      </c>
    </row>
    <row r="146">
      <c r="A146">
        <f>Datos!A146</f>
        <v/>
      </c>
      <c r="B146">
        <f>IF(Datos!C146="","",Datos!C146)</f>
        <v/>
      </c>
      <c r="C146">
        <f>COUNT(Datos!E146:M146)</f>
        <v/>
      </c>
      <c r="D146">
        <f>IF(C146=0,"",MEDIAN(Datos!E146:M146))</f>
        <v/>
      </c>
      <c r="E146">
        <f>COUNT(Datos!W146:AE146)</f>
        <v/>
      </c>
      <c r="F146">
        <f>IF(OR(B146="",D146=""),"",B146-D146)</f>
        <v/>
      </c>
      <c r="G146">
        <f>IF(Datos!D146="","",Datos!D146)</f>
        <v/>
      </c>
      <c r="H146">
        <f>COUNT(Datos!N146:V146)</f>
        <v/>
      </c>
      <c r="I146">
        <f>IF(B146="",IF(C146&gt;=5,"falta en SV",""),IF(G146="",IF(B146&gt;8,IF(C146&gt;=5,"SV tarde","despues del tramo"),IF(H146&gt;=5,"no retomado en 2-8","previo")),IF(B146&lt;2,"retomado",IF(AND(C146&lt;=1,E146&gt;=3),"solo especializacion",IF(F146="","coherente",IF(F146&lt;=-1.5,"SV adelantado",IF(F146&gt;=2,"SV tarde","coherente")))))))</f>
        <v/>
      </c>
      <c r="J146">
        <f>Datos!B146</f>
        <v/>
      </c>
    </row>
    <row r="147">
      <c r="A147">
        <f>Datos!A147</f>
        <v/>
      </c>
      <c r="B147">
        <f>IF(Datos!C147="","",Datos!C147)</f>
        <v/>
      </c>
      <c r="C147">
        <f>COUNT(Datos!E147:M147)</f>
        <v/>
      </c>
      <c r="D147">
        <f>IF(C147=0,"",MEDIAN(Datos!E147:M147))</f>
        <v/>
      </c>
      <c r="E147">
        <f>COUNT(Datos!W147:AE147)</f>
        <v/>
      </c>
      <c r="F147">
        <f>IF(OR(B147="",D147=""),"",B147-D147)</f>
        <v/>
      </c>
      <c r="G147">
        <f>IF(Datos!D147="","",Datos!D147)</f>
        <v/>
      </c>
      <c r="H147">
        <f>COUNT(Datos!N147:V147)</f>
        <v/>
      </c>
      <c r="I147">
        <f>IF(B147="",IF(C147&gt;=5,"falta en SV",""),IF(G147="",IF(B147&gt;8,IF(C147&gt;=5,"SV tarde","despues del tramo"),IF(H147&gt;=5,"no retomado en 2-8","previo")),IF(B147&lt;2,"retomado",IF(AND(C147&lt;=1,E147&gt;=3),"solo especializacion",IF(F147="","coherente",IF(F147&lt;=-1.5,"SV adelantado",IF(F147&gt;=2,"SV tarde","coherente")))))))</f>
        <v/>
      </c>
      <c r="J147">
        <f>Datos!B147</f>
        <v/>
      </c>
    </row>
    <row r="148">
      <c r="A148">
        <f>Datos!A148</f>
        <v/>
      </c>
      <c r="B148">
        <f>IF(Datos!C148="","",Datos!C148)</f>
        <v/>
      </c>
      <c r="C148">
        <f>COUNT(Datos!E148:M148)</f>
        <v/>
      </c>
      <c r="D148">
        <f>IF(C148=0,"",MEDIAN(Datos!E148:M148))</f>
        <v/>
      </c>
      <c r="E148">
        <f>COUNT(Datos!W148:AE148)</f>
        <v/>
      </c>
      <c r="F148">
        <f>IF(OR(B148="",D148=""),"",B148-D148)</f>
        <v/>
      </c>
      <c r="G148">
        <f>IF(Datos!D148="","",Datos!D148)</f>
        <v/>
      </c>
      <c r="H148">
        <f>COUNT(Datos!N148:V148)</f>
        <v/>
      </c>
      <c r="I148">
        <f>IF(B148="",IF(C148&gt;=5,"falta en SV",""),IF(G148="",IF(B148&gt;8,IF(C148&gt;=5,"SV tarde","despues del tramo"),IF(H148&gt;=5,"no retomado en 2-8","previo")),IF(B148&lt;2,"retomado",IF(AND(C148&lt;=1,E148&gt;=3),"solo especializacion",IF(F148="","coherente",IF(F148&lt;=-1.5,"SV adelantado",IF(F148&gt;=2,"SV tarde","coherente")))))))</f>
        <v/>
      </c>
      <c r="J148">
        <f>Datos!B148</f>
        <v/>
      </c>
    </row>
    <row r="149">
      <c r="A149">
        <f>Datos!A149</f>
        <v/>
      </c>
      <c r="B149">
        <f>IF(Datos!C149="","",Datos!C149)</f>
        <v/>
      </c>
      <c r="C149">
        <f>COUNT(Datos!E149:M149)</f>
        <v/>
      </c>
      <c r="D149">
        <f>IF(C149=0,"",MEDIAN(Datos!E149:M149))</f>
        <v/>
      </c>
      <c r="E149">
        <f>COUNT(Datos!W149:AE149)</f>
        <v/>
      </c>
      <c r="F149">
        <f>IF(OR(B149="",D149=""),"",B149-D149)</f>
        <v/>
      </c>
      <c r="G149">
        <f>IF(Datos!D149="","",Datos!D149)</f>
        <v/>
      </c>
      <c r="H149">
        <f>COUNT(Datos!N149:V149)</f>
        <v/>
      </c>
      <c r="I149">
        <f>IF(B149="",IF(C149&gt;=5,"falta en SV",""),IF(G149="",IF(B149&gt;8,IF(C149&gt;=5,"SV tarde","despues del tramo"),IF(H149&gt;=5,"no retomado en 2-8","previo")),IF(B149&lt;2,"retomado",IF(AND(C149&lt;=1,E149&gt;=3),"solo especializacion",IF(F149="","coherente",IF(F149&lt;=-1.5,"SV adelantado",IF(F149&gt;=2,"SV tarde","coherente")))))))</f>
        <v/>
      </c>
      <c r="J149">
        <f>Datos!B149</f>
        <v/>
      </c>
    </row>
    <row r="150">
      <c r="A150">
        <f>Datos!A150</f>
        <v/>
      </c>
      <c r="B150">
        <f>IF(Datos!C150="","",Datos!C150)</f>
        <v/>
      </c>
      <c r="C150">
        <f>COUNT(Datos!E150:M150)</f>
        <v/>
      </c>
      <c r="D150">
        <f>IF(C150=0,"",MEDIAN(Datos!E150:M150))</f>
        <v/>
      </c>
      <c r="E150">
        <f>COUNT(Datos!W150:AE150)</f>
        <v/>
      </c>
      <c r="F150">
        <f>IF(OR(B150="",D150=""),"",B150-D150)</f>
        <v/>
      </c>
      <c r="G150">
        <f>IF(Datos!D150="","",Datos!D150)</f>
        <v/>
      </c>
      <c r="H150">
        <f>COUNT(Datos!N150:V150)</f>
        <v/>
      </c>
      <c r="I150">
        <f>IF(B150="",IF(C150&gt;=5,"falta en SV",""),IF(G150="",IF(B150&gt;8,IF(C150&gt;=5,"SV tarde","despues del tramo"),IF(H150&gt;=5,"no retomado en 2-8","previo")),IF(B150&lt;2,"retomado",IF(AND(C150&lt;=1,E150&gt;=3),"solo especializacion",IF(F150="","coherente",IF(F150&lt;=-1.5,"SV adelantado",IF(F150&gt;=2,"SV tarde","coherente")))))))</f>
        <v/>
      </c>
      <c r="J150">
        <f>Datos!B150</f>
        <v/>
      </c>
    </row>
    <row r="151">
      <c r="A151">
        <f>Datos!A151</f>
        <v/>
      </c>
      <c r="B151">
        <f>IF(Datos!C151="","",Datos!C151)</f>
        <v/>
      </c>
      <c r="C151">
        <f>COUNT(Datos!E151:M151)</f>
        <v/>
      </c>
      <c r="D151">
        <f>IF(C151=0,"",MEDIAN(Datos!E151:M151))</f>
        <v/>
      </c>
      <c r="E151">
        <f>COUNT(Datos!W151:AE151)</f>
        <v/>
      </c>
      <c r="F151">
        <f>IF(OR(B151="",D151=""),"",B151-D151)</f>
        <v/>
      </c>
      <c r="G151">
        <f>IF(Datos!D151="","",Datos!D151)</f>
        <v/>
      </c>
      <c r="H151">
        <f>COUNT(Datos!N151:V151)</f>
        <v/>
      </c>
      <c r="I151">
        <f>IF(B151="",IF(C151&gt;=5,"falta en SV",""),IF(G151="",IF(B151&gt;8,IF(C151&gt;=5,"SV tarde","despues del tramo"),IF(H151&gt;=5,"no retomado en 2-8","previo")),IF(B151&lt;2,"retomado",IF(AND(C151&lt;=1,E151&gt;=3),"solo especializacion",IF(F151="","coherente",IF(F151&lt;=-1.5,"SV adelantado",IF(F151&gt;=2,"SV tarde","coherente")))))))</f>
        <v/>
      </c>
      <c r="J151">
        <f>Datos!B151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COUNTIF(Datos!B2:B151,A2)</f>
        <v/>
      </c>
    </row>
    <row r="3">
      <c r="A3" t="inlineStr">
        <is>
          <t>tardio</t>
        </is>
      </c>
      <c r="B3">
        <f>COUNTIF(Datos!B2:B151,A3)</f>
        <v/>
      </c>
    </row>
    <row r="4">
      <c r="A4" t="inlineStr">
        <is>
          <t>posterior</t>
        </is>
      </c>
      <c r="B4">
        <f>COUNTIF(Datos!B2:B151,A4)</f>
        <v/>
      </c>
    </row>
    <row r="5">
      <c r="A5" t="inlineStr">
        <is>
          <t>adelantado</t>
        </is>
      </c>
      <c r="B5">
        <f>COUNTIF(Datos!B2:B151,A5)</f>
        <v/>
      </c>
    </row>
    <row r="6">
      <c r="A6" t="inlineStr">
        <is>
          <t>sin_referente</t>
        </is>
      </c>
      <c r="B6">
        <f>COUNTIF(Datos!B2:B151,A6)</f>
        <v/>
      </c>
    </row>
    <row r="7">
      <c r="A7" t="inlineStr">
        <is>
          <t>alineado</t>
        </is>
      </c>
      <c r="B7">
        <f>COUNTIF(Datos!B2:B151,A7)</f>
        <v/>
      </c>
    </row>
    <row r="8">
      <c r="A8" t="inlineStr">
        <is>
          <t>incierto</t>
        </is>
      </c>
      <c r="B8">
        <f>COUNTIF(Datos!B2:B151,A8)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