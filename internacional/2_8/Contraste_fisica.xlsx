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Circuito eléctrico simple</t>
        </is>
      </c>
      <c r="B3" t="inlineStr">
        <is>
          <t>adelantado</t>
        </is>
      </c>
      <c r="C3" t="n">
        <v>2</v>
      </c>
      <c r="D3" t="n">
        <v>2</v>
      </c>
      <c r="E3" t="n">
        <v>5</v>
      </c>
      <c r="F3" t="n">
        <v>8</v>
      </c>
      <c r="G3" t="n">
        <v>2</v>
      </c>
      <c r="H3" t="n">
        <v>3</v>
      </c>
      <c r="I3" t="n">
        <v>2</v>
      </c>
      <c r="J3" t="n">
        <v>4.5</v>
      </c>
      <c r="K3" t="n">
        <v>5</v>
      </c>
      <c r="L3" t="n">
        <v>5</v>
      </c>
      <c r="M3" t="n">
        <v>2.5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Color y dispersión de la luz</t>
        </is>
      </c>
      <c r="B4" t="inlineStr">
        <is>
          <t>adelantado</t>
        </is>
      </c>
      <c r="C4" t="n">
        <v>2</v>
      </c>
      <c r="D4" t="n">
        <v>2</v>
      </c>
      <c r="F4" t="n">
        <v>8</v>
      </c>
      <c r="G4" t="n">
        <v>6</v>
      </c>
      <c r="H4" t="n">
        <v>2</v>
      </c>
      <c r="I4" t="n">
        <v>2</v>
      </c>
      <c r="J4" t="n">
        <v>7</v>
      </c>
      <c r="L4" t="n">
        <v>7.5</v>
      </c>
      <c r="M4" t="n">
        <v>4.5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U4" t="n">
        <v>1</v>
      </c>
      <c r="V4" t="n">
        <v>1</v>
      </c>
      <c r="Z4" t="n">
        <v>1</v>
      </c>
      <c r="AF4" t="n">
        <v>2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energía mecánica</t>
        </is>
      </c>
      <c r="B5" t="inlineStr">
        <is>
          <t>adelantado</t>
        </is>
      </c>
      <c r="C5" t="n">
        <v>5</v>
      </c>
      <c r="D5" t="n">
        <v>5</v>
      </c>
      <c r="G5" t="n">
        <v>8.5</v>
      </c>
      <c r="I5" t="n">
        <v>8</v>
      </c>
      <c r="J5" t="n">
        <v>7</v>
      </c>
      <c r="M5" t="n">
        <v>7</v>
      </c>
      <c r="P5" t="n">
        <v>1</v>
      </c>
      <c r="R5" t="n">
        <v>1</v>
      </c>
      <c r="S5" t="n">
        <v>1</v>
      </c>
      <c r="V5" t="n">
        <v>1</v>
      </c>
      <c r="AF5" t="n">
        <v>5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Densidad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7</v>
      </c>
      <c r="I6" t="n">
        <v>2</v>
      </c>
      <c r="J6" t="n">
        <v>4.5</v>
      </c>
      <c r="K6" t="n">
        <v>6</v>
      </c>
      <c r="L6" t="n">
        <v>7.5</v>
      </c>
      <c r="M6" t="n">
        <v>7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Disipación de energía y eficiencia</t>
        </is>
      </c>
      <c r="B7" t="inlineStr">
        <is>
          <t>adelantado</t>
        </is>
      </c>
      <c r="C7" t="n">
        <v>2</v>
      </c>
      <c r="D7" t="n">
        <v>2</v>
      </c>
      <c r="E7" t="n">
        <v>8</v>
      </c>
      <c r="F7" t="n">
        <v>8</v>
      </c>
      <c r="G7" t="n">
        <v>8.5</v>
      </c>
      <c r="H7" t="n">
        <v>7</v>
      </c>
      <c r="I7" t="n">
        <v>8</v>
      </c>
      <c r="J7" t="n">
        <v>4.5</v>
      </c>
      <c r="K7" t="n">
        <v>2</v>
      </c>
      <c r="L7" t="n">
        <v>6</v>
      </c>
      <c r="M7" t="n">
        <v>7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Z7" t="n">
        <v>1</v>
      </c>
      <c r="AF7" t="n">
        <v>2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Energía potencial gravitatoria y elástica</t>
        </is>
      </c>
      <c r="B8" t="inlineStr">
        <is>
          <t>adelantado</t>
        </is>
      </c>
      <c r="C8" t="n">
        <v>5</v>
      </c>
      <c r="D8" t="n">
        <v>5</v>
      </c>
      <c r="E8" t="n">
        <v>7</v>
      </c>
      <c r="G8" t="n">
        <v>6</v>
      </c>
      <c r="H8" t="n">
        <v>4</v>
      </c>
      <c r="I8" t="n">
        <v>8</v>
      </c>
      <c r="J8" t="n">
        <v>7</v>
      </c>
      <c r="K8" t="n">
        <v>4</v>
      </c>
      <c r="M8" t="n">
        <v>7</v>
      </c>
      <c r="N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Condiciones de equilibrio estático</t>
        </is>
      </c>
      <c r="B9" t="inlineStr">
        <is>
          <t>adelantado</t>
        </is>
      </c>
      <c r="C9" t="n">
        <v>2</v>
      </c>
      <c r="D9" t="n">
        <v>2</v>
      </c>
      <c r="G9" t="n">
        <v>6</v>
      </c>
      <c r="I9" t="n">
        <v>5</v>
      </c>
      <c r="J9" t="n">
        <v>7</v>
      </c>
      <c r="K9" t="n">
        <v>2</v>
      </c>
      <c r="M9" t="n">
        <v>4.5</v>
      </c>
      <c r="P9" t="n">
        <v>1</v>
      </c>
      <c r="R9" t="n">
        <v>1</v>
      </c>
      <c r="S9" t="n">
        <v>1</v>
      </c>
      <c r="T9" t="n">
        <v>1</v>
      </c>
      <c r="V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Formas de energía</t>
        </is>
      </c>
      <c r="B10" t="inlineStr">
        <is>
          <t>adelantado</t>
        </is>
      </c>
      <c r="C10" t="n">
        <v>2</v>
      </c>
      <c r="D10" t="n">
        <v>2</v>
      </c>
      <c r="E10" t="n">
        <v>2</v>
      </c>
      <c r="F10" t="n">
        <v>8</v>
      </c>
      <c r="G10" t="n">
        <v>6</v>
      </c>
      <c r="H10" t="n">
        <v>2</v>
      </c>
      <c r="J10" t="n">
        <v>7</v>
      </c>
      <c r="K10" t="n">
        <v>2</v>
      </c>
      <c r="L10" t="n">
        <v>4</v>
      </c>
      <c r="M10" t="n">
        <v>4.5</v>
      </c>
      <c r="N10" t="n">
        <v>1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Fuentes de energía renovables y no renovables</t>
        </is>
      </c>
      <c r="B11" t="inlineStr">
        <is>
          <t>adelantado</t>
        </is>
      </c>
      <c r="C11" t="n">
        <v>2</v>
      </c>
      <c r="D11" t="n">
        <v>2</v>
      </c>
      <c r="F11" t="n">
        <v>5</v>
      </c>
      <c r="G11" t="n">
        <v>6</v>
      </c>
      <c r="H11" t="n">
        <v>3</v>
      </c>
      <c r="I11" t="n">
        <v>5</v>
      </c>
      <c r="J11" t="n">
        <v>4.5</v>
      </c>
      <c r="K11" t="n">
        <v>2</v>
      </c>
      <c r="L11" t="n">
        <v>4.5</v>
      </c>
      <c r="M11" t="n">
        <v>2.5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Gráficas del movimiento</t>
        </is>
      </c>
      <c r="B12" t="inlineStr">
        <is>
          <t>adelantado</t>
        </is>
      </c>
      <c r="C12" t="n">
        <v>5</v>
      </c>
      <c r="D12" t="n">
        <v>5</v>
      </c>
      <c r="F12" t="n">
        <v>8</v>
      </c>
      <c r="G12" t="n">
        <v>6</v>
      </c>
      <c r="H12" t="n">
        <v>7</v>
      </c>
      <c r="J12" t="n">
        <v>4.5</v>
      </c>
      <c r="O12" t="n">
        <v>1</v>
      </c>
      <c r="P12" t="n">
        <v>1</v>
      </c>
      <c r="Q12" t="n">
        <v>1</v>
      </c>
      <c r="S12" t="n">
        <v>1</v>
      </c>
      <c r="AF12" t="n">
        <v>8</v>
      </c>
      <c r="AG12" t="inlineStr">
        <is>
          <t>adelantado</t>
        </is>
      </c>
      <c r="AH12" t="inlineStr">
        <is>
          <t>alineado</t>
        </is>
      </c>
    </row>
    <row r="13">
      <c r="A13" t="inlineStr">
        <is>
          <t>Primera ley de Newton: inercia</t>
        </is>
      </c>
      <c r="B13" t="inlineStr">
        <is>
          <t>adelantado</t>
        </is>
      </c>
      <c r="C13" t="n">
        <v>5</v>
      </c>
      <c r="D13" t="n">
        <v>5</v>
      </c>
      <c r="E13" t="n">
        <v>6</v>
      </c>
      <c r="G13" t="n">
        <v>6</v>
      </c>
      <c r="H13" t="n">
        <v>7</v>
      </c>
      <c r="I13" t="n">
        <v>8</v>
      </c>
      <c r="J13" t="n">
        <v>2.5</v>
      </c>
      <c r="K13" t="n">
        <v>2</v>
      </c>
      <c r="M13" t="n">
        <v>7</v>
      </c>
      <c r="N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V13" t="n">
        <v>1</v>
      </c>
      <c r="AF13" t="n">
        <v>5</v>
      </c>
      <c r="AG13" t="inlineStr">
        <is>
          <t>adelantado</t>
        </is>
      </c>
      <c r="AH13" t="inlineStr">
        <is>
          <t>alineado</t>
        </is>
      </c>
    </row>
    <row r="14">
      <c r="A14" t="inlineStr">
        <is>
          <t>Resistencia equivalente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L14" t="n">
        <v>7.5</v>
      </c>
      <c r="O14" t="n">
        <v>1</v>
      </c>
      <c r="P14" t="n">
        <v>1</v>
      </c>
      <c r="S14" t="n">
        <v>1</v>
      </c>
      <c r="U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Sistema Internacional de Unidades</t>
        </is>
      </c>
      <c r="B15" t="inlineStr">
        <is>
          <t>adelantado</t>
        </is>
      </c>
      <c r="C15" t="n">
        <v>5</v>
      </c>
      <c r="D15" t="n">
        <v>5</v>
      </c>
      <c r="G15" t="n">
        <v>6</v>
      </c>
      <c r="H15" t="n">
        <v>7</v>
      </c>
      <c r="J15" t="n">
        <v>2.5</v>
      </c>
      <c r="K15" t="n">
        <v>8</v>
      </c>
      <c r="L15" t="n">
        <v>7.5</v>
      </c>
      <c r="M15" t="n">
        <v>2.5</v>
      </c>
      <c r="P15" t="n">
        <v>1</v>
      </c>
      <c r="Q15" t="n">
        <v>1</v>
      </c>
      <c r="S15" t="n">
        <v>1</v>
      </c>
      <c r="T15" t="n">
        <v>1</v>
      </c>
      <c r="U15" t="n">
        <v>1</v>
      </c>
      <c r="V15" t="n">
        <v>1</v>
      </c>
      <c r="AF15" t="n">
        <v>5</v>
      </c>
      <c r="AG15" t="inlineStr">
        <is>
          <t>alineado</t>
        </is>
      </c>
      <c r="AH15" t="inlineStr">
        <is>
          <t>adelantado</t>
        </is>
      </c>
    </row>
    <row r="16">
      <c r="A16" t="inlineStr">
        <is>
          <t>Transformaciones de la energía</t>
        </is>
      </c>
      <c r="B16" t="inlineStr">
        <is>
          <t>adelantado</t>
        </is>
      </c>
      <c r="C16" t="n">
        <v>2</v>
      </c>
      <c r="D16" t="n">
        <v>2</v>
      </c>
      <c r="E16" t="n">
        <v>5</v>
      </c>
      <c r="F16" t="n">
        <v>5</v>
      </c>
      <c r="G16" t="n">
        <v>2</v>
      </c>
      <c r="H16" t="n">
        <v>2</v>
      </c>
      <c r="I16" t="n">
        <v>3</v>
      </c>
      <c r="J16" t="n">
        <v>4.5</v>
      </c>
      <c r="K16" t="n">
        <v>2</v>
      </c>
      <c r="L16" t="n">
        <v>4.5</v>
      </c>
      <c r="M16" t="n">
        <v>2.5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2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Absorción de radiación y efecto invernadero</t>
        </is>
      </c>
      <c r="B17" t="inlineStr">
        <is>
          <t>alineado</t>
        </is>
      </c>
      <c r="C17" t="n">
        <v>7</v>
      </c>
      <c r="D17" t="n">
        <v>7</v>
      </c>
      <c r="G17" t="n">
        <v>6</v>
      </c>
      <c r="H17" t="n">
        <v>7</v>
      </c>
      <c r="J17" t="n">
        <v>7</v>
      </c>
      <c r="K17" t="n">
        <v>5</v>
      </c>
      <c r="L17" t="n">
        <v>7.5</v>
      </c>
      <c r="M17" t="n">
        <v>7</v>
      </c>
      <c r="P17" t="n">
        <v>1</v>
      </c>
      <c r="Q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7</v>
      </c>
      <c r="AG17" t="inlineStr">
        <is>
          <t>alineado</t>
        </is>
      </c>
      <c r="AH17" t="inlineStr">
        <is>
          <t>alineado</t>
        </is>
      </c>
    </row>
    <row r="18">
      <c r="A18" t="inlineStr">
        <is>
          <t>Calentamiento y enfriamiento</t>
        </is>
      </c>
      <c r="B18" t="inlineStr">
        <is>
          <t>alineado</t>
        </is>
      </c>
      <c r="C18" t="n">
        <v>2</v>
      </c>
      <c r="D18" t="n">
        <v>2</v>
      </c>
      <c r="E18" t="n">
        <v>2</v>
      </c>
      <c r="F18" t="n">
        <v>8</v>
      </c>
      <c r="G18" t="n">
        <v>2</v>
      </c>
      <c r="H18" t="n">
        <v>7</v>
      </c>
      <c r="I18" t="n">
        <v>2</v>
      </c>
      <c r="J18" t="n">
        <v>4.5</v>
      </c>
      <c r="L18" t="n">
        <v>4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U18" t="n">
        <v>1</v>
      </c>
      <c r="V18" t="n">
        <v>1</v>
      </c>
      <c r="AF18" t="n">
        <v>2</v>
      </c>
      <c r="AG18" t="inlineStr">
        <is>
          <t>adelantado</t>
        </is>
      </c>
      <c r="AH18" t="inlineStr">
        <is>
          <t>alineado</t>
        </is>
      </c>
    </row>
    <row r="19">
      <c r="A19" t="inlineStr">
        <is>
          <t>Calor latente</t>
        </is>
      </c>
      <c r="B19" t="inlineStr">
        <is>
          <t>alineado</t>
        </is>
      </c>
      <c r="C19" t="n">
        <v>6</v>
      </c>
      <c r="D19" t="n">
        <v>6</v>
      </c>
      <c r="F19" t="n">
        <v>8</v>
      </c>
      <c r="G19" t="n">
        <v>8.5</v>
      </c>
      <c r="H19" t="n">
        <v>7</v>
      </c>
      <c r="O19" t="n">
        <v>1</v>
      </c>
      <c r="P19" t="n">
        <v>1</v>
      </c>
      <c r="Q19" t="n">
        <v>1</v>
      </c>
      <c r="AF19" t="n">
        <v>9</v>
      </c>
      <c r="AG19" t="inlineStr">
        <is>
          <t>adelantado</t>
        </is>
      </c>
      <c r="AH19" t="inlineStr">
        <is>
          <t>posterior</t>
        </is>
      </c>
    </row>
    <row r="20">
      <c r="A20" t="inlineStr">
        <is>
          <t>Calor como energía en tránsito</t>
        </is>
      </c>
      <c r="B20" t="inlineStr">
        <is>
          <t>alineado</t>
        </is>
      </c>
      <c r="C20" t="n">
        <v>2</v>
      </c>
      <c r="D20" t="n">
        <v>2</v>
      </c>
      <c r="E20" t="n">
        <v>2</v>
      </c>
      <c r="F20" t="n">
        <v>8</v>
      </c>
      <c r="G20" t="n">
        <v>6</v>
      </c>
      <c r="H20" t="n">
        <v>2</v>
      </c>
      <c r="J20" t="n">
        <v>4.5</v>
      </c>
      <c r="K20" t="n">
        <v>4</v>
      </c>
      <c r="L20" t="n">
        <v>4</v>
      </c>
      <c r="M20" t="n">
        <v>7</v>
      </c>
      <c r="N20" t="n">
        <v>1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AF20" t="n">
        <v>9</v>
      </c>
      <c r="AG20" t="inlineStr">
        <is>
          <t>adelantado</t>
        </is>
      </c>
      <c r="AH20" t="inlineStr">
        <is>
          <t>tardio</t>
        </is>
      </c>
    </row>
    <row r="21">
      <c r="A21" t="inlineStr">
        <is>
          <t>Cambios de estado</t>
        </is>
      </c>
      <c r="B21" t="inlineStr">
        <is>
          <t>alineado</t>
        </is>
      </c>
      <c r="C21" t="n">
        <v>2</v>
      </c>
      <c r="D21" t="n">
        <v>2</v>
      </c>
      <c r="E21" t="n">
        <v>2</v>
      </c>
      <c r="F21" t="n">
        <v>8</v>
      </c>
      <c r="G21" t="n">
        <v>2</v>
      </c>
      <c r="H21" t="n">
        <v>2</v>
      </c>
      <c r="I21" t="n">
        <v>3</v>
      </c>
      <c r="J21" t="n">
        <v>2.5</v>
      </c>
      <c r="K21" t="n">
        <v>2</v>
      </c>
      <c r="L21" t="n">
        <v>4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Z21" t="n">
        <v>1</v>
      </c>
      <c r="AF21" t="n">
        <v>2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Campo magnético y magnetismo terrestre</t>
        </is>
      </c>
      <c r="B22" t="inlineStr">
        <is>
          <t>alineado</t>
        </is>
      </c>
      <c r="C22" t="n">
        <v>5</v>
      </c>
      <c r="D22" t="n">
        <v>5</v>
      </c>
      <c r="E22" t="n">
        <v>3</v>
      </c>
      <c r="F22" t="n">
        <v>2.5</v>
      </c>
      <c r="G22" t="n">
        <v>2</v>
      </c>
      <c r="H22" t="n">
        <v>2</v>
      </c>
      <c r="I22" t="n">
        <v>2</v>
      </c>
      <c r="J22" t="n">
        <v>4.5</v>
      </c>
      <c r="L22" t="n">
        <v>3</v>
      </c>
      <c r="M22" t="n">
        <v>4.5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5</v>
      </c>
      <c r="AG22" t="inlineStr">
        <is>
          <t>alineado</t>
        </is>
      </c>
      <c r="AH22" t="inlineStr">
        <is>
          <t>tardio</t>
        </is>
      </c>
    </row>
    <row r="23">
      <c r="A23" t="inlineStr">
        <is>
          <t>Capacidad calorífica y calor específico</t>
        </is>
      </c>
      <c r="B23" t="inlineStr">
        <is>
          <t>alineado</t>
        </is>
      </c>
      <c r="C23" t="n">
        <v>3</v>
      </c>
      <c r="D23" t="n">
        <v>3</v>
      </c>
      <c r="F23" t="n">
        <v>8</v>
      </c>
      <c r="G23" t="n">
        <v>8.5</v>
      </c>
      <c r="H23" t="n">
        <v>7</v>
      </c>
      <c r="J23" t="n">
        <v>7</v>
      </c>
      <c r="L23" t="n">
        <v>4</v>
      </c>
      <c r="M23" t="n">
        <v>7</v>
      </c>
      <c r="O23" t="n">
        <v>1</v>
      </c>
      <c r="P23" t="n">
        <v>1</v>
      </c>
      <c r="Q23" t="n">
        <v>1</v>
      </c>
      <c r="S23" t="n">
        <v>1</v>
      </c>
      <c r="U23" t="n">
        <v>1</v>
      </c>
      <c r="V23" t="n">
        <v>1</v>
      </c>
      <c r="AF23" t="n">
        <v>6</v>
      </c>
      <c r="AG23" t="inlineStr">
        <is>
          <t>adelantado</t>
        </is>
      </c>
      <c r="AH23" t="inlineStr">
        <is>
          <t>alineado</t>
        </is>
      </c>
    </row>
    <row r="24">
      <c r="A24" t="inlineStr">
        <is>
          <t>Circuitos en serie y en paralelo</t>
        </is>
      </c>
      <c r="B24" t="inlineStr">
        <is>
          <t>alineado</t>
        </is>
      </c>
      <c r="C24" t="n">
        <v>4</v>
      </c>
      <c r="D24" t="n">
        <v>4</v>
      </c>
      <c r="F24" t="n">
        <v>8</v>
      </c>
      <c r="G24" t="n">
        <v>2</v>
      </c>
      <c r="H24" t="n">
        <v>7</v>
      </c>
      <c r="I24" t="n">
        <v>3</v>
      </c>
      <c r="J24" t="n">
        <v>7</v>
      </c>
      <c r="K24" t="n">
        <v>5</v>
      </c>
      <c r="L24" t="n">
        <v>5</v>
      </c>
      <c r="M24" t="n">
        <v>2.5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6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Conductores y aislantes eléctricos</t>
        </is>
      </c>
      <c r="B25" t="inlineStr">
        <is>
          <t>alineado</t>
        </is>
      </c>
      <c r="C25" t="n">
        <v>4</v>
      </c>
      <c r="D25" t="n">
        <v>4</v>
      </c>
      <c r="E25" t="n">
        <v>5</v>
      </c>
      <c r="F25" t="n">
        <v>8</v>
      </c>
      <c r="G25" t="n">
        <v>2</v>
      </c>
      <c r="H25" t="n">
        <v>4</v>
      </c>
      <c r="I25" t="n">
        <v>2</v>
      </c>
      <c r="J25" t="n">
        <v>7</v>
      </c>
      <c r="K25" t="n">
        <v>5</v>
      </c>
      <c r="L25" t="n">
        <v>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AF25" t="n">
        <v>4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Conservación de la energía</t>
        </is>
      </c>
      <c r="B26" t="inlineStr">
        <is>
          <t>alineado</t>
        </is>
      </c>
      <c r="C26" t="n">
        <v>5</v>
      </c>
      <c r="D26" t="n">
        <v>5</v>
      </c>
      <c r="E26" t="n">
        <v>7</v>
      </c>
      <c r="F26" t="n">
        <v>8</v>
      </c>
      <c r="G26" t="n">
        <v>6</v>
      </c>
      <c r="H26" t="n">
        <v>7</v>
      </c>
      <c r="I26" t="n">
        <v>8</v>
      </c>
      <c r="J26" t="n">
        <v>7</v>
      </c>
      <c r="K26" t="n">
        <v>4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5</v>
      </c>
      <c r="AG26" t="inlineStr">
        <is>
          <t>adelantado</t>
        </is>
      </c>
      <c r="AH26" t="inlineStr">
        <is>
          <t>adelantado</t>
        </is>
      </c>
    </row>
    <row r="27">
      <c r="A27" t="inlineStr">
        <is>
          <t>Corriente, voltaje y resistencia</t>
        </is>
      </c>
      <c r="B27" t="inlineStr">
        <is>
          <t>alineado</t>
        </is>
      </c>
      <c r="C27" t="n">
        <v>4</v>
      </c>
      <c r="D27" t="n">
        <v>4</v>
      </c>
      <c r="F27" t="n">
        <v>8</v>
      </c>
      <c r="G27" t="n">
        <v>4</v>
      </c>
      <c r="H27" t="n">
        <v>7</v>
      </c>
      <c r="I27" t="n">
        <v>3</v>
      </c>
      <c r="J27" t="n">
        <v>4.5</v>
      </c>
      <c r="K27" t="n">
        <v>5</v>
      </c>
      <c r="L27" t="n">
        <v>5</v>
      </c>
      <c r="M27" t="n">
        <v>7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Dilatación térmica</t>
        </is>
      </c>
      <c r="B28" t="inlineStr">
        <is>
          <t>alineado</t>
        </is>
      </c>
      <c r="C28" t="n">
        <v>6</v>
      </c>
      <c r="D28" t="n">
        <v>6</v>
      </c>
      <c r="F28" t="n">
        <v>8</v>
      </c>
      <c r="H28" t="n">
        <v>7</v>
      </c>
      <c r="I28" t="n">
        <v>3</v>
      </c>
      <c r="J28" t="n">
        <v>7</v>
      </c>
      <c r="K28" t="n">
        <v>6</v>
      </c>
      <c r="L28" t="n">
        <v>4</v>
      </c>
      <c r="M28" t="n">
        <v>7</v>
      </c>
      <c r="O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6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Electroimanes y efecto magnético de la corriente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6</v>
      </c>
      <c r="H29" t="n">
        <v>5</v>
      </c>
      <c r="I29" t="n">
        <v>4</v>
      </c>
      <c r="J29" t="n">
        <v>4.5</v>
      </c>
      <c r="L29" t="n">
        <v>3</v>
      </c>
      <c r="M29" t="n">
        <v>4.5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Energía cinética</t>
        </is>
      </c>
      <c r="B30" t="inlineStr">
        <is>
          <t>alineado</t>
        </is>
      </c>
      <c r="C30" t="n">
        <v>2</v>
      </c>
      <c r="D30" t="n">
        <v>2</v>
      </c>
      <c r="E30" t="n">
        <v>7</v>
      </c>
      <c r="G30" t="n">
        <v>6</v>
      </c>
      <c r="H30" t="n">
        <v>4</v>
      </c>
      <c r="I30" t="n">
        <v>8</v>
      </c>
      <c r="J30" t="n">
        <v>7</v>
      </c>
      <c r="K30" t="n">
        <v>4</v>
      </c>
      <c r="M30" t="n">
        <v>4.5</v>
      </c>
      <c r="N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V30" t="n">
        <v>1</v>
      </c>
      <c r="AF30" t="n">
        <v>5</v>
      </c>
      <c r="AG30" t="inlineStr">
        <is>
          <t>adelantado</t>
        </is>
      </c>
      <c r="AH30" t="inlineStr">
        <is>
          <t>alineado</t>
        </is>
      </c>
    </row>
    <row r="31">
      <c r="A31" t="inlineStr">
        <is>
          <t>La energía y sus usos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2</v>
      </c>
      <c r="J31" t="n">
        <v>4.5</v>
      </c>
      <c r="K31" t="n">
        <v>2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Equilibrio térmico y ley cero</t>
        </is>
      </c>
      <c r="B32" t="inlineStr">
        <is>
          <t>alineado</t>
        </is>
      </c>
      <c r="C32" t="n">
        <v>4</v>
      </c>
      <c r="D32" t="n">
        <v>4</v>
      </c>
      <c r="F32" t="n">
        <v>8</v>
      </c>
      <c r="G32" t="n">
        <v>6</v>
      </c>
      <c r="H32" t="n">
        <v>7</v>
      </c>
      <c r="J32" t="n">
        <v>4.5</v>
      </c>
      <c r="L32" t="n">
        <v>4</v>
      </c>
      <c r="M32" t="n">
        <v>4.5</v>
      </c>
      <c r="O32" t="n">
        <v>1</v>
      </c>
      <c r="P32" t="n">
        <v>1</v>
      </c>
      <c r="Q32" t="n">
        <v>1</v>
      </c>
      <c r="S32" t="n">
        <v>1</v>
      </c>
      <c r="U32" t="n">
        <v>1</v>
      </c>
      <c r="V32" t="n">
        <v>1</v>
      </c>
      <c r="AF32" t="n">
        <v>9</v>
      </c>
      <c r="AG32" t="inlineStr">
        <is>
          <t>adelantado</t>
        </is>
      </c>
      <c r="AH32" t="inlineStr">
        <is>
          <t>tardio</t>
        </is>
      </c>
    </row>
    <row r="33">
      <c r="A33" t="inlineStr">
        <is>
          <t>Estados de la materia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3</v>
      </c>
      <c r="J33" t="n">
        <v>2.5</v>
      </c>
      <c r="K33" t="n">
        <v>2</v>
      </c>
      <c r="L33" t="n">
        <v>4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Z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Flotación y hundimiento</t>
        </is>
      </c>
      <c r="B34" t="inlineStr">
        <is>
          <t>alineado</t>
        </is>
      </c>
      <c r="C34" t="n">
        <v>2</v>
      </c>
      <c r="D34" t="n">
        <v>2</v>
      </c>
      <c r="F34" t="n">
        <v>8</v>
      </c>
      <c r="G34" t="n">
        <v>6</v>
      </c>
      <c r="H34" t="n">
        <v>2</v>
      </c>
      <c r="K34" t="n">
        <v>2</v>
      </c>
      <c r="L34" t="n">
        <v>3</v>
      </c>
      <c r="M34" t="n">
        <v>7</v>
      </c>
      <c r="O34" t="n">
        <v>1</v>
      </c>
      <c r="P34" t="n">
        <v>1</v>
      </c>
      <c r="Q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adelantado</t>
        </is>
      </c>
    </row>
    <row r="35">
      <c r="A35" t="inlineStr">
        <is>
          <t>Fricción y resistencia del aire</t>
        </is>
      </c>
      <c r="B35" t="inlineStr">
        <is>
          <t>alineado</t>
        </is>
      </c>
      <c r="C35" t="n">
        <v>3</v>
      </c>
      <c r="D35" t="n">
        <v>3</v>
      </c>
      <c r="E35" t="n">
        <v>2</v>
      </c>
      <c r="F35" t="n">
        <v>8</v>
      </c>
      <c r="G35" t="n">
        <v>2</v>
      </c>
      <c r="H35" t="n">
        <v>3</v>
      </c>
      <c r="J35" t="n">
        <v>7</v>
      </c>
      <c r="K35" t="n">
        <v>5</v>
      </c>
      <c r="L35" t="n">
        <v>6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10</v>
      </c>
      <c r="AG35" t="inlineStr">
        <is>
          <t>adelantado</t>
        </is>
      </c>
      <c r="AH35" t="inlineStr">
        <is>
          <t>tardio</t>
        </is>
      </c>
    </row>
    <row r="36">
      <c r="A36" t="inlineStr">
        <is>
          <t>Fuerza elástica y ley de Hooke</t>
        </is>
      </c>
      <c r="B36" t="inlineStr">
        <is>
          <t>alineado</t>
        </is>
      </c>
      <c r="C36" t="n">
        <v>5</v>
      </c>
      <c r="D36" t="n">
        <v>5</v>
      </c>
      <c r="F36" t="n">
        <v>8</v>
      </c>
      <c r="G36" t="n">
        <v>6</v>
      </c>
      <c r="H36" t="n">
        <v>7</v>
      </c>
      <c r="I36" t="n">
        <v>2</v>
      </c>
      <c r="J36" t="n">
        <v>7</v>
      </c>
      <c r="L36" t="n">
        <v>6</v>
      </c>
      <c r="M36" t="n">
        <v>4.5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U36" t="n">
        <v>1</v>
      </c>
      <c r="V36" t="n">
        <v>1</v>
      </c>
      <c r="AF36" t="n">
        <v>5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Fuerza como empuje o tirón</t>
        </is>
      </c>
      <c r="B37" t="inlineStr">
        <is>
          <t>alineado</t>
        </is>
      </c>
      <c r="C37" t="n">
        <v>2</v>
      </c>
      <c r="D37" t="n">
        <v>2</v>
      </c>
      <c r="E37" t="n">
        <v>2</v>
      </c>
      <c r="F37" t="n">
        <v>8</v>
      </c>
      <c r="G37" t="n">
        <v>6</v>
      </c>
      <c r="H37" t="n">
        <v>2</v>
      </c>
      <c r="I37" t="n">
        <v>2</v>
      </c>
      <c r="J37" t="n">
        <v>2.5</v>
      </c>
      <c r="K37" t="n">
        <v>2</v>
      </c>
      <c r="L37" t="n">
        <v>3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2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Fuerza magnética sobre corrientes y motor eléctrico</t>
        </is>
      </c>
      <c r="B38" t="inlineStr">
        <is>
          <t>alineado</t>
        </is>
      </c>
      <c r="C38" t="n">
        <v>9</v>
      </c>
      <c r="F38" t="n">
        <v>8</v>
      </c>
      <c r="G38" t="n">
        <v>6</v>
      </c>
      <c r="I38" t="n">
        <v>7</v>
      </c>
      <c r="J38" t="n">
        <v>7</v>
      </c>
      <c r="M38" t="n">
        <v>7</v>
      </c>
      <c r="O38" t="n">
        <v>1</v>
      </c>
      <c r="P38" t="n">
        <v>1</v>
      </c>
      <c r="R38" t="n">
        <v>1</v>
      </c>
      <c r="S38" t="n">
        <v>1</v>
      </c>
      <c r="V38" t="n">
        <v>1</v>
      </c>
      <c r="AF38" t="n">
        <v>9</v>
      </c>
      <c r="AG38" t="inlineStr">
        <is>
          <t>posterior</t>
        </is>
      </c>
      <c r="AH38" t="inlineStr">
        <is>
          <t>alineado</t>
        </is>
      </c>
    </row>
    <row r="39">
      <c r="A39" t="inlineStr">
        <is>
          <t>Fuerzas de contacto y a distancia</t>
        </is>
      </c>
      <c r="B39" t="inlineStr">
        <is>
          <t>alineado</t>
        </is>
      </c>
      <c r="C39" t="n">
        <v>3</v>
      </c>
      <c r="D39" t="n">
        <v>3</v>
      </c>
      <c r="E39" t="n">
        <v>3</v>
      </c>
      <c r="G39" t="n">
        <v>2</v>
      </c>
      <c r="H39" t="n">
        <v>2</v>
      </c>
      <c r="I39" t="n">
        <v>7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3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Fuerzas mecánicas comunes</t>
        </is>
      </c>
      <c r="B40" t="inlineStr">
        <is>
          <t>alineado</t>
        </is>
      </c>
      <c r="C40" t="n">
        <v>2</v>
      </c>
      <c r="D40" t="n">
        <v>2</v>
      </c>
      <c r="F40" t="n">
        <v>8</v>
      </c>
      <c r="G40" t="n">
        <v>6</v>
      </c>
      <c r="H40" t="n">
        <v>7</v>
      </c>
      <c r="J40" t="n">
        <v>7</v>
      </c>
      <c r="K40" t="n">
        <v>2</v>
      </c>
      <c r="M40" t="n">
        <v>2.5</v>
      </c>
      <c r="O40" t="n">
        <v>1</v>
      </c>
      <c r="P40" t="n">
        <v>1</v>
      </c>
      <c r="Q40" t="n">
        <v>1</v>
      </c>
      <c r="S40" t="n">
        <v>1</v>
      </c>
      <c r="T40" t="n">
        <v>1</v>
      </c>
      <c r="V40" t="n">
        <v>1</v>
      </c>
      <c r="AF40" t="n">
        <v>6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Gravedad: atracción hacia la Tierra</t>
        </is>
      </c>
      <c r="B41" t="inlineStr">
        <is>
          <t>alineado</t>
        </is>
      </c>
      <c r="C41" t="n">
        <v>3</v>
      </c>
      <c r="D41" t="n">
        <v>3</v>
      </c>
      <c r="E41" t="n">
        <v>3</v>
      </c>
      <c r="F41" t="n">
        <v>8</v>
      </c>
      <c r="G41" t="n">
        <v>3</v>
      </c>
      <c r="H41" t="n">
        <v>2</v>
      </c>
      <c r="I41" t="n">
        <v>3</v>
      </c>
      <c r="J41" t="n">
        <v>7</v>
      </c>
      <c r="K41" t="n">
        <v>5</v>
      </c>
      <c r="L41" t="n">
        <v>6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G41" t="inlineStr">
        <is>
          <t>adelantado</t>
        </is>
      </c>
      <c r="AH41" t="inlineStr">
        <is>
          <t>faltante</t>
        </is>
      </c>
    </row>
    <row r="42">
      <c r="A42" t="inlineStr">
        <is>
          <t>Imanes y polos magnéticos</t>
        </is>
      </c>
      <c r="B42" t="inlineStr">
        <is>
          <t>alineado</t>
        </is>
      </c>
      <c r="C42" t="n">
        <v>3</v>
      </c>
      <c r="D42" t="n">
        <v>3</v>
      </c>
      <c r="F42" t="n">
        <v>8</v>
      </c>
      <c r="G42" t="n">
        <v>2</v>
      </c>
      <c r="H42" t="n">
        <v>2</v>
      </c>
      <c r="I42" t="n">
        <v>2</v>
      </c>
      <c r="J42" t="n">
        <v>2.5</v>
      </c>
      <c r="L42" t="n">
        <v>3</v>
      </c>
      <c r="M42" t="n">
        <v>2.5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Ley de Ohm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I43" t="n">
        <v>7</v>
      </c>
      <c r="J43" t="n">
        <v>7</v>
      </c>
      <c r="K43" t="n">
        <v>8</v>
      </c>
      <c r="L43" t="n">
        <v>7.5</v>
      </c>
      <c r="M43" t="n">
        <v>7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AF43" t="n">
        <v>6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Magnitudes escalares y vectoriales</t>
        </is>
      </c>
      <c r="B44" t="inlineStr">
        <is>
          <t>alineado</t>
        </is>
      </c>
      <c r="C44" t="n">
        <v>5</v>
      </c>
      <c r="D44" t="n">
        <v>5</v>
      </c>
      <c r="G44" t="n">
        <v>6</v>
      </c>
      <c r="H44" t="n">
        <v>3</v>
      </c>
      <c r="I44" t="n">
        <v>6</v>
      </c>
      <c r="K44" t="n">
        <v>6</v>
      </c>
      <c r="M44" t="n">
        <v>2.5</v>
      </c>
      <c r="P44" t="n">
        <v>1</v>
      </c>
      <c r="Q44" t="n">
        <v>1</v>
      </c>
      <c r="R44" t="n">
        <v>1</v>
      </c>
      <c r="T44" t="n">
        <v>1</v>
      </c>
      <c r="V44" t="n">
        <v>1</v>
      </c>
      <c r="AF44" t="n">
        <v>5</v>
      </c>
      <c r="AG44" t="inlineStr">
        <is>
          <t>adelantado</t>
        </is>
      </c>
      <c r="AH44" t="inlineStr">
        <is>
          <t>alineado</t>
        </is>
      </c>
    </row>
    <row r="45">
      <c r="A45" t="inlineStr">
        <is>
          <t>Longitud de onda, frecuencia y rapidez</t>
        </is>
      </c>
      <c r="B45" t="inlineStr">
        <is>
          <t>alineado</t>
        </is>
      </c>
      <c r="C45" t="n">
        <v>8</v>
      </c>
      <c r="D45" t="n">
        <v>8</v>
      </c>
      <c r="F45" t="n">
        <v>5</v>
      </c>
      <c r="G45" t="n">
        <v>6</v>
      </c>
      <c r="H45" t="n">
        <v>7</v>
      </c>
      <c r="J45" t="n">
        <v>7</v>
      </c>
      <c r="M45" t="n">
        <v>7</v>
      </c>
      <c r="O45" t="n">
        <v>1</v>
      </c>
      <c r="P45" t="n">
        <v>1</v>
      </c>
      <c r="Q45" t="n">
        <v>1</v>
      </c>
      <c r="S45" t="n">
        <v>1</v>
      </c>
      <c r="V45" t="n">
        <v>1</v>
      </c>
      <c r="Z45" t="n">
        <v>1</v>
      </c>
      <c r="AF45" t="n">
        <v>8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Máquinas simples</t>
        </is>
      </c>
      <c r="B46" t="inlineStr">
        <is>
          <t>alineado</t>
        </is>
      </c>
      <c r="C46" t="n">
        <v>2</v>
      </c>
      <c r="D46" t="n">
        <v>2</v>
      </c>
      <c r="F46" t="n">
        <v>8</v>
      </c>
      <c r="G46" t="n">
        <v>3</v>
      </c>
      <c r="H46" t="n">
        <v>2</v>
      </c>
      <c r="I46" t="n">
        <v>5</v>
      </c>
      <c r="J46" t="n">
        <v>2.5</v>
      </c>
      <c r="K46" t="n">
        <v>2</v>
      </c>
      <c r="M46" t="n">
        <v>4.5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AF46" t="n">
        <v>2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Materiales magnéticos</t>
        </is>
      </c>
      <c r="B47" t="inlineStr">
        <is>
          <t>alineado</t>
        </is>
      </c>
      <c r="C47" t="n">
        <v>3</v>
      </c>
      <c r="D47" t="n">
        <v>3</v>
      </c>
      <c r="G47" t="n">
        <v>2</v>
      </c>
      <c r="H47" t="n">
        <v>2</v>
      </c>
      <c r="I47" t="n">
        <v>2</v>
      </c>
      <c r="J47" t="n">
        <v>2.5</v>
      </c>
      <c r="L47" t="n">
        <v>3</v>
      </c>
      <c r="M47" t="n">
        <v>2.5</v>
      </c>
      <c r="P47" t="n">
        <v>1</v>
      </c>
      <c r="Q47" t="n">
        <v>1</v>
      </c>
      <c r="R47" t="n">
        <v>1</v>
      </c>
      <c r="S47" t="n">
        <v>1</v>
      </c>
      <c r="U47" t="n">
        <v>1</v>
      </c>
      <c r="V47" t="n">
        <v>1</v>
      </c>
      <c r="AF47" t="n">
        <v>3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Materiales opacos, transparentes y translúcidos</t>
        </is>
      </c>
      <c r="B48" t="inlineStr">
        <is>
          <t>alineado</t>
        </is>
      </c>
      <c r="C48" t="n">
        <v>2</v>
      </c>
      <c r="D48" t="n">
        <v>2</v>
      </c>
      <c r="G48" t="n">
        <v>2</v>
      </c>
      <c r="H48" t="n">
        <v>2</v>
      </c>
      <c r="I48" t="n">
        <v>6</v>
      </c>
      <c r="K48" t="n">
        <v>3</v>
      </c>
      <c r="L48" t="n">
        <v>3</v>
      </c>
      <c r="P48" t="n">
        <v>1</v>
      </c>
      <c r="Q48" t="n">
        <v>1</v>
      </c>
      <c r="R48" t="n">
        <v>1</v>
      </c>
      <c r="T48" t="n">
        <v>1</v>
      </c>
      <c r="U48" t="n">
        <v>1</v>
      </c>
      <c r="Z48" t="n">
        <v>1</v>
      </c>
      <c r="AF48" t="n">
        <v>2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Conducción, convección y radiación</t>
        </is>
      </c>
      <c r="B49" t="inlineStr">
        <is>
          <t>alineado</t>
        </is>
      </c>
      <c r="C49" t="n">
        <v>2</v>
      </c>
      <c r="D49" t="n">
        <v>2</v>
      </c>
      <c r="F49" t="n">
        <v>8</v>
      </c>
      <c r="G49" t="n">
        <v>6</v>
      </c>
      <c r="H49" t="n">
        <v>2</v>
      </c>
      <c r="I49" t="n">
        <v>2</v>
      </c>
      <c r="J49" t="n">
        <v>4.5</v>
      </c>
      <c r="K49" t="n">
        <v>2</v>
      </c>
      <c r="L49" t="n">
        <v>4</v>
      </c>
      <c r="M49" t="n">
        <v>2.5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t="n">
        <v>1</v>
      </c>
      <c r="AF49" t="n">
        <v>2</v>
      </c>
      <c r="AG49" t="inlineStr">
        <is>
          <t>adelantado</t>
        </is>
      </c>
      <c r="AH49" t="inlineStr">
        <is>
          <t>alineado</t>
        </is>
      </c>
    </row>
    <row r="50">
      <c r="A50" t="inlineStr">
        <is>
          <t>Medición de magnitudes con instrumentos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F50" t="n">
        <v>2.5</v>
      </c>
      <c r="G50" t="n">
        <v>6</v>
      </c>
      <c r="H50" t="n">
        <v>2</v>
      </c>
      <c r="J50" t="n">
        <v>2.5</v>
      </c>
      <c r="L50" t="n">
        <v>4</v>
      </c>
      <c r="M50" t="n">
        <v>2.5</v>
      </c>
      <c r="N50" t="n">
        <v>1</v>
      </c>
      <c r="O50" t="n">
        <v>1</v>
      </c>
      <c r="P50" t="n">
        <v>1</v>
      </c>
      <c r="Q50" t="n">
        <v>1</v>
      </c>
      <c r="S50" t="n">
        <v>1</v>
      </c>
      <c r="U50" t="n">
        <v>1</v>
      </c>
      <c r="V50" t="n">
        <v>1</v>
      </c>
      <c r="AF50" t="n">
        <v>2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Momento lineal e impulso</t>
        </is>
      </c>
      <c r="B51" t="inlineStr">
        <is>
          <t>alineado</t>
        </is>
      </c>
      <c r="C51" t="n">
        <v>8</v>
      </c>
      <c r="D51" t="n">
        <v>8</v>
      </c>
      <c r="F51" t="n">
        <v>8</v>
      </c>
      <c r="G51" t="n">
        <v>8.5</v>
      </c>
      <c r="K51" t="n">
        <v>4</v>
      </c>
      <c r="O51" t="n">
        <v>1</v>
      </c>
      <c r="P51" t="n">
        <v>1</v>
      </c>
      <c r="T51" t="n">
        <v>1</v>
      </c>
      <c r="AF51" t="n">
        <v>8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Movimiento con aceleración constante</t>
        </is>
      </c>
      <c r="B52" t="inlineStr">
        <is>
          <t>alineado</t>
        </is>
      </c>
      <c r="C52" t="n">
        <v>8</v>
      </c>
      <c r="D52" t="n">
        <v>8</v>
      </c>
      <c r="G52" t="n">
        <v>8.5</v>
      </c>
      <c r="H52" t="n">
        <v>7</v>
      </c>
      <c r="J52" t="n">
        <v>7</v>
      </c>
      <c r="P52" t="n">
        <v>1</v>
      </c>
      <c r="Q52" t="n">
        <v>1</v>
      </c>
      <c r="S52" t="n">
        <v>1</v>
      </c>
      <c r="AF52" t="n">
        <v>8</v>
      </c>
      <c r="AG52" t="inlineStr">
        <is>
          <t>sin_referente</t>
        </is>
      </c>
      <c r="AH52" t="inlineStr">
        <is>
          <t>alineado</t>
        </is>
      </c>
    </row>
    <row r="53">
      <c r="A53" t="inlineStr">
        <is>
          <t>Movimiento, reposo y tipos de trayectoria</t>
        </is>
      </c>
      <c r="B53" t="inlineStr">
        <is>
          <t>alineado</t>
        </is>
      </c>
      <c r="C53" t="n">
        <v>2</v>
      </c>
      <c r="D53" t="n">
        <v>2</v>
      </c>
      <c r="E53" t="n">
        <v>2</v>
      </c>
      <c r="G53" t="n">
        <v>2</v>
      </c>
      <c r="H53" t="n">
        <v>2</v>
      </c>
      <c r="I53" t="n">
        <v>2</v>
      </c>
      <c r="J53" t="n">
        <v>4.5</v>
      </c>
      <c r="K53" t="n">
        <v>2</v>
      </c>
      <c r="M53" t="n">
        <v>7</v>
      </c>
      <c r="N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2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Ondas mecánicas transversales y longitudinales</t>
        </is>
      </c>
      <c r="B54" t="inlineStr">
        <is>
          <t>alineado</t>
        </is>
      </c>
      <c r="C54" t="n">
        <v>2</v>
      </c>
      <c r="D54" t="n">
        <v>2</v>
      </c>
      <c r="E54" t="n">
        <v>8</v>
      </c>
      <c r="G54" t="n">
        <v>6</v>
      </c>
      <c r="M54" t="n">
        <v>7</v>
      </c>
      <c r="N54" t="n">
        <v>1</v>
      </c>
      <c r="P54" t="n">
        <v>1</v>
      </c>
      <c r="V54" t="n">
        <v>1</v>
      </c>
      <c r="AF54" t="n">
        <v>8</v>
      </c>
      <c r="AG54" t="inlineStr">
        <is>
          <t>sin_referente</t>
        </is>
      </c>
      <c r="AH54" t="inlineStr">
        <is>
          <t>alineado</t>
        </is>
      </c>
    </row>
    <row r="55">
      <c r="A55" t="inlineStr">
        <is>
          <t>Péndulo simple</t>
        </is>
      </c>
      <c r="B55" t="inlineStr">
        <is>
          <t>alineado</t>
        </is>
      </c>
      <c r="C55" t="n">
        <v>8</v>
      </c>
      <c r="D55" t="n">
        <v>8</v>
      </c>
      <c r="F55" t="n">
        <v>8</v>
      </c>
      <c r="I55" t="n">
        <v>4</v>
      </c>
      <c r="J55" t="n">
        <v>7</v>
      </c>
      <c r="O55" t="n">
        <v>1</v>
      </c>
      <c r="R55" t="n">
        <v>1</v>
      </c>
      <c r="S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Posición, desplazamiento y trayectoria</t>
        </is>
      </c>
      <c r="B56" t="inlineStr">
        <is>
          <t>alineado</t>
        </is>
      </c>
      <c r="C56" t="n">
        <v>5</v>
      </c>
      <c r="D56" t="n">
        <v>5</v>
      </c>
      <c r="F56" t="n">
        <v>8</v>
      </c>
      <c r="G56" t="n">
        <v>6</v>
      </c>
      <c r="H56" t="n">
        <v>2</v>
      </c>
      <c r="I56" t="n">
        <v>8</v>
      </c>
      <c r="J56" t="n">
        <v>4.5</v>
      </c>
      <c r="K56" t="n">
        <v>2</v>
      </c>
      <c r="M56" t="n">
        <v>2.5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5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Potencia eléctrica y efecto Joule</t>
        </is>
      </c>
      <c r="B57" t="inlineStr">
        <is>
          <t>alineado</t>
        </is>
      </c>
      <c r="C57" t="n">
        <v>2</v>
      </c>
      <c r="D57" t="n">
        <v>2</v>
      </c>
      <c r="F57" t="n">
        <v>8</v>
      </c>
      <c r="G57" t="n">
        <v>6</v>
      </c>
      <c r="H57" t="n">
        <v>5</v>
      </c>
      <c r="I57" t="n">
        <v>5</v>
      </c>
      <c r="J57" t="n">
        <v>7</v>
      </c>
      <c r="K57" t="n">
        <v>5</v>
      </c>
      <c r="L57" t="n">
        <v>7.5</v>
      </c>
      <c r="M57" t="n">
        <v>7</v>
      </c>
      <c r="O57" t="n">
        <v>1</v>
      </c>
      <c r="P57" t="n">
        <v>1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Z57" t="n">
        <v>1</v>
      </c>
      <c r="AF57" t="n">
        <v>9</v>
      </c>
      <c r="AG57" t="inlineStr">
        <is>
          <t>adelantado</t>
        </is>
      </c>
      <c r="AH57" t="inlineStr">
        <is>
          <t>tardio</t>
        </is>
      </c>
    </row>
    <row r="58">
      <c r="A58" t="inlineStr">
        <is>
          <t>Potencia mecánica</t>
        </is>
      </c>
      <c r="B58" t="inlineStr">
        <is>
          <t>alineado</t>
        </is>
      </c>
      <c r="C58" t="n">
        <v>5</v>
      </c>
      <c r="D58" t="n">
        <v>5</v>
      </c>
      <c r="G58" t="n">
        <v>8.5</v>
      </c>
      <c r="I58" t="n">
        <v>8</v>
      </c>
      <c r="M58" t="n">
        <v>7</v>
      </c>
      <c r="P58" t="n">
        <v>1</v>
      </c>
      <c r="R58" t="n">
        <v>1</v>
      </c>
      <c r="V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Presión</t>
        </is>
      </c>
      <c r="B59" t="inlineStr">
        <is>
          <t>alineado</t>
        </is>
      </c>
      <c r="C59" t="n">
        <v>6</v>
      </c>
      <c r="D59" t="n">
        <v>6</v>
      </c>
      <c r="F59" t="n">
        <v>8</v>
      </c>
      <c r="G59" t="n">
        <v>6</v>
      </c>
      <c r="H59" t="n">
        <v>4</v>
      </c>
      <c r="I59" t="n">
        <v>3</v>
      </c>
      <c r="K59" t="n">
        <v>4</v>
      </c>
      <c r="L59" t="n">
        <v>7.5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T59" t="n">
        <v>1</v>
      </c>
      <c r="U59" t="n">
        <v>1</v>
      </c>
      <c r="V59" t="n">
        <v>1</v>
      </c>
      <c r="Z59" t="n">
        <v>1</v>
      </c>
      <c r="AF59" t="n">
        <v>6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Presión hidrostática y atmosférica</t>
        </is>
      </c>
      <c r="B60" t="inlineStr">
        <is>
          <t>alineado</t>
        </is>
      </c>
      <c r="C60" t="n">
        <v>6</v>
      </c>
      <c r="D60" t="n">
        <v>6</v>
      </c>
      <c r="F60" t="n">
        <v>5</v>
      </c>
      <c r="G60" t="n">
        <v>6</v>
      </c>
      <c r="H60" t="n">
        <v>4</v>
      </c>
      <c r="I60" t="n">
        <v>7</v>
      </c>
      <c r="L60" t="n">
        <v>7.5</v>
      </c>
      <c r="M60" t="n">
        <v>2.5</v>
      </c>
      <c r="O60" t="n">
        <v>1</v>
      </c>
      <c r="P60" t="n">
        <v>1</v>
      </c>
      <c r="Q60" t="n">
        <v>1</v>
      </c>
      <c r="R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Principio de Arquímedes: empuje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5</v>
      </c>
      <c r="I61" t="n">
        <v>8</v>
      </c>
      <c r="J61" t="n">
        <v>7</v>
      </c>
      <c r="K61" t="n">
        <v>7</v>
      </c>
      <c r="L61" t="n">
        <v>7.5</v>
      </c>
      <c r="M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t="n">
        <v>1</v>
      </c>
      <c r="AF61" t="n">
        <v>6</v>
      </c>
      <c r="AG61" t="inlineStr">
        <is>
          <t>alineado</t>
        </is>
      </c>
      <c r="AH61" t="inlineStr">
        <is>
          <t>alineado</t>
        </is>
      </c>
    </row>
    <row r="62">
      <c r="A62" t="inlineStr">
        <is>
          <t>Principio de Pascal</t>
        </is>
      </c>
      <c r="B62" t="inlineStr">
        <is>
          <t>alineado</t>
        </is>
      </c>
      <c r="C62" t="n">
        <v>6</v>
      </c>
      <c r="D62" t="n">
        <v>6</v>
      </c>
      <c r="F62" t="n">
        <v>8</v>
      </c>
      <c r="K62" t="n">
        <v>7</v>
      </c>
      <c r="M62" t="n">
        <v>7</v>
      </c>
      <c r="O62" t="n">
        <v>1</v>
      </c>
      <c r="T62" t="n">
        <v>1</v>
      </c>
      <c r="V62" t="n">
        <v>1</v>
      </c>
      <c r="AF62" t="n">
        <v>9</v>
      </c>
      <c r="AG62" t="inlineStr">
        <is>
          <t>alineado</t>
        </is>
      </c>
      <c r="AH62" t="inlineStr">
        <is>
          <t>posterior</t>
        </is>
      </c>
    </row>
    <row r="63">
      <c r="A63" t="inlineStr">
        <is>
          <t>Fuentes de luz, propagación y sombras</t>
        </is>
      </c>
      <c r="B63" t="inlineStr">
        <is>
          <t>alineado</t>
        </is>
      </c>
      <c r="C63" t="n">
        <v>2</v>
      </c>
      <c r="D63" t="n">
        <v>2</v>
      </c>
      <c r="E63" t="n">
        <v>4</v>
      </c>
      <c r="F63" t="n">
        <v>8</v>
      </c>
      <c r="G63" t="n">
        <v>2</v>
      </c>
      <c r="H63" t="n">
        <v>2</v>
      </c>
      <c r="I63" t="n">
        <v>2</v>
      </c>
      <c r="J63" t="n">
        <v>4.5</v>
      </c>
      <c r="K63" t="n">
        <v>3</v>
      </c>
      <c r="L63" t="n">
        <v>4</v>
      </c>
      <c r="M63" t="n">
        <v>2.5</v>
      </c>
      <c r="N63" t="n">
        <v>1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t="n">
        <v>1</v>
      </c>
      <c r="AF63" t="n">
        <v>2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Rapidez y velocidad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6</v>
      </c>
      <c r="H64" t="n">
        <v>2</v>
      </c>
      <c r="I64" t="n">
        <v>8</v>
      </c>
      <c r="J64" t="n">
        <v>4.5</v>
      </c>
      <c r="K64" t="n">
        <v>2</v>
      </c>
      <c r="M64" t="n">
        <v>4.5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V64" t="n">
        <v>1</v>
      </c>
      <c r="AF64" t="n">
        <v>2</v>
      </c>
      <c r="AG64" t="inlineStr">
        <is>
          <t>adelantado</t>
        </is>
      </c>
      <c r="AH64" t="inlineStr">
        <is>
          <t>adelantado</t>
        </is>
      </c>
    </row>
    <row r="65">
      <c r="A65" t="inlineStr">
        <is>
          <t>Reflexión de la luz</t>
        </is>
      </c>
      <c r="B65" t="inlineStr">
        <is>
          <t>alineado</t>
        </is>
      </c>
      <c r="C65" t="n">
        <v>4</v>
      </c>
      <c r="D65" t="n">
        <v>4</v>
      </c>
      <c r="E65" t="n">
        <v>4</v>
      </c>
      <c r="F65" t="n">
        <v>8</v>
      </c>
      <c r="G65" t="n">
        <v>2</v>
      </c>
      <c r="H65" t="n">
        <v>3</v>
      </c>
      <c r="I65" t="n">
        <v>2</v>
      </c>
      <c r="J65" t="n">
        <v>4.5</v>
      </c>
      <c r="K65" t="n">
        <v>3</v>
      </c>
      <c r="L65" t="n">
        <v>4</v>
      </c>
      <c r="M65" t="n">
        <v>2.5</v>
      </c>
      <c r="N65" t="n">
        <v>1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t="n">
        <v>1</v>
      </c>
      <c r="AF65" t="n">
        <v>4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Relaciones presión-volumen-temperatura en gases</t>
        </is>
      </c>
      <c r="B66" t="inlineStr">
        <is>
          <t>alineado</t>
        </is>
      </c>
      <c r="C66" t="n">
        <v>9</v>
      </c>
      <c r="G66" t="n">
        <v>8.5</v>
      </c>
      <c r="I66" t="n">
        <v>3</v>
      </c>
      <c r="K66" t="n">
        <v>7</v>
      </c>
      <c r="M66" t="n">
        <v>7</v>
      </c>
      <c r="P66" t="n">
        <v>1</v>
      </c>
      <c r="R66" t="n">
        <v>1</v>
      </c>
      <c r="T66" t="n">
        <v>1</v>
      </c>
      <c r="V66" t="n">
        <v>1</v>
      </c>
      <c r="Z66" t="n">
        <v>1</v>
      </c>
      <c r="AF66" t="n">
        <v>9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Segunda ley de Newton</t>
        </is>
      </c>
      <c r="B67" t="inlineStr">
        <is>
          <t>alineado</t>
        </is>
      </c>
      <c r="C67" t="n">
        <v>5</v>
      </c>
      <c r="D67" t="n">
        <v>5</v>
      </c>
      <c r="E67" t="n">
        <v>6</v>
      </c>
      <c r="F67" t="n">
        <v>5</v>
      </c>
      <c r="G67" t="n">
        <v>6</v>
      </c>
      <c r="H67" t="n">
        <v>7</v>
      </c>
      <c r="I67" t="n">
        <v>8</v>
      </c>
      <c r="J67" t="n">
        <v>2.5</v>
      </c>
      <c r="K67" t="n">
        <v>4</v>
      </c>
      <c r="M67" t="n">
        <v>2.5</v>
      </c>
      <c r="N67" t="n">
        <v>1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5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El sonido como onda mecánica</t>
        </is>
      </c>
      <c r="B68" t="inlineStr">
        <is>
          <t>alineado</t>
        </is>
      </c>
      <c r="C68" t="n">
        <v>4</v>
      </c>
      <c r="D68" t="n">
        <v>4</v>
      </c>
      <c r="F68" t="n">
        <v>5</v>
      </c>
      <c r="G68" t="n">
        <v>2</v>
      </c>
      <c r="H68" t="n">
        <v>2</v>
      </c>
      <c r="I68" t="n">
        <v>6</v>
      </c>
      <c r="J68" t="n">
        <v>2.5</v>
      </c>
      <c r="K68" t="n">
        <v>3</v>
      </c>
      <c r="M68" t="n">
        <v>2.5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V68" t="n">
        <v>1</v>
      </c>
      <c r="AF68" t="n">
        <v>4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El sonido se produce por vibraciones</t>
        </is>
      </c>
      <c r="B69" t="inlineStr">
        <is>
          <t>alineado</t>
        </is>
      </c>
      <c r="C69" t="n">
        <v>2</v>
      </c>
      <c r="D69" t="n">
        <v>2</v>
      </c>
      <c r="E69" t="n">
        <v>2</v>
      </c>
      <c r="F69" t="n">
        <v>8</v>
      </c>
      <c r="G69" t="n">
        <v>2</v>
      </c>
      <c r="H69" t="n">
        <v>2</v>
      </c>
      <c r="I69" t="n">
        <v>2</v>
      </c>
      <c r="J69" t="n">
        <v>2.5</v>
      </c>
      <c r="K69" t="n">
        <v>3</v>
      </c>
      <c r="M69" t="n">
        <v>2.5</v>
      </c>
      <c r="N69" t="n">
        <v>1</v>
      </c>
      <c r="O69" t="n">
        <v>1</v>
      </c>
      <c r="P69" t="n">
        <v>1</v>
      </c>
      <c r="Q69" t="n">
        <v>1</v>
      </c>
      <c r="R69" t="n">
        <v>1</v>
      </c>
      <c r="S69" t="n">
        <v>1</v>
      </c>
      <c r="T69" t="n">
        <v>1</v>
      </c>
      <c r="V69" t="n">
        <v>1</v>
      </c>
      <c r="AF69" t="n">
        <v>2</v>
      </c>
      <c r="AG69" t="inlineStr">
        <is>
          <t>alineado</t>
        </is>
      </c>
      <c r="AH69" t="inlineStr">
        <is>
          <t>alineado</t>
        </is>
      </c>
    </row>
    <row r="70">
      <c r="A70" t="inlineStr">
        <is>
          <t>Temperatura y escalas termométricas</t>
        </is>
      </c>
      <c r="B70" t="inlineStr">
        <is>
          <t>alineado</t>
        </is>
      </c>
      <c r="C70" t="n">
        <v>2</v>
      </c>
      <c r="D70" t="n">
        <v>2</v>
      </c>
      <c r="F70" t="n">
        <v>2.5</v>
      </c>
      <c r="G70" t="n">
        <v>2</v>
      </c>
      <c r="H70" t="n">
        <v>2</v>
      </c>
      <c r="J70" t="n">
        <v>4.5</v>
      </c>
      <c r="L70" t="n">
        <v>4</v>
      </c>
      <c r="M70" t="n">
        <v>2.5</v>
      </c>
      <c r="O70" t="n">
        <v>1</v>
      </c>
      <c r="P70" t="n">
        <v>1</v>
      </c>
      <c r="Q70" t="n">
        <v>1</v>
      </c>
      <c r="S70" t="n">
        <v>1</v>
      </c>
      <c r="U70" t="n">
        <v>1</v>
      </c>
      <c r="V70" t="n">
        <v>1</v>
      </c>
      <c r="Z70" t="n">
        <v>1</v>
      </c>
      <c r="AF70" t="n">
        <v>3</v>
      </c>
      <c r="AG70" t="inlineStr">
        <is>
          <t>adelantado</t>
        </is>
      </c>
      <c r="AH70" t="inlineStr">
        <is>
          <t>alineado</t>
        </is>
      </c>
    </row>
    <row r="71">
      <c r="A71" t="inlineStr">
        <is>
          <t>Tercera ley de Newton: acción y reacción</t>
        </is>
      </c>
      <c r="B71" t="inlineStr">
        <is>
          <t>alineado</t>
        </is>
      </c>
      <c r="C71" t="n">
        <v>5</v>
      </c>
      <c r="D71" t="n">
        <v>5</v>
      </c>
      <c r="G71" t="n">
        <v>6</v>
      </c>
      <c r="H71" t="n">
        <v>4</v>
      </c>
      <c r="K71" t="n">
        <v>4</v>
      </c>
      <c r="M71" t="n">
        <v>7</v>
      </c>
      <c r="P71" t="n">
        <v>1</v>
      </c>
      <c r="Q71" t="n">
        <v>1</v>
      </c>
      <c r="T71" t="n">
        <v>1</v>
      </c>
      <c r="V71" t="n">
        <v>1</v>
      </c>
      <c r="AF71" t="n">
        <v>5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Características del sonido: tono, intensidad y eco</t>
        </is>
      </c>
      <c r="B72" t="inlineStr">
        <is>
          <t>alineado</t>
        </is>
      </c>
      <c r="C72" t="n">
        <v>2</v>
      </c>
      <c r="D72" t="n">
        <v>2</v>
      </c>
      <c r="F72" t="n">
        <v>5</v>
      </c>
      <c r="G72" t="n">
        <v>2</v>
      </c>
      <c r="H72" t="n">
        <v>2</v>
      </c>
      <c r="I72" t="n">
        <v>2</v>
      </c>
      <c r="J72" t="n">
        <v>2.5</v>
      </c>
      <c r="K72" t="n">
        <v>3</v>
      </c>
      <c r="M72" t="n">
        <v>4.5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Z72" t="n">
        <v>1</v>
      </c>
      <c r="AF72" t="n">
        <v>2</v>
      </c>
      <c r="AG72" t="inlineStr">
        <is>
          <t>adelantado</t>
        </is>
      </c>
      <c r="AH72" t="inlineStr">
        <is>
          <t>alineado</t>
        </is>
      </c>
    </row>
    <row r="73">
      <c r="A73" t="inlineStr">
        <is>
          <t>Torque o momento de fuerza</t>
        </is>
      </c>
      <c r="B73" t="inlineStr">
        <is>
          <t>alineado</t>
        </is>
      </c>
      <c r="C73" t="n">
        <v>4</v>
      </c>
      <c r="D73" t="n">
        <v>4</v>
      </c>
      <c r="G73" t="n">
        <v>6</v>
      </c>
      <c r="H73" t="n">
        <v>5</v>
      </c>
      <c r="I73" t="n">
        <v>5</v>
      </c>
      <c r="K73" t="n">
        <v>6</v>
      </c>
      <c r="M73" t="n">
        <v>2.5</v>
      </c>
      <c r="P73" t="n">
        <v>1</v>
      </c>
      <c r="Q73" t="n">
        <v>1</v>
      </c>
      <c r="R73" t="n">
        <v>1</v>
      </c>
      <c r="T73" t="n">
        <v>1</v>
      </c>
      <c r="V73" t="n">
        <v>1</v>
      </c>
      <c r="AF73" t="n">
        <v>5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Trabajo mecánico</t>
        </is>
      </c>
      <c r="B74" t="inlineStr">
        <is>
          <t>alineado</t>
        </is>
      </c>
      <c r="C74" t="n">
        <v>8</v>
      </c>
      <c r="D74" t="n">
        <v>8</v>
      </c>
      <c r="F74" t="n">
        <v>8</v>
      </c>
      <c r="G74" t="n">
        <v>6</v>
      </c>
      <c r="I74" t="n">
        <v>8</v>
      </c>
      <c r="J74" t="n">
        <v>7</v>
      </c>
      <c r="K74" t="n">
        <v>7</v>
      </c>
      <c r="L74" t="n">
        <v>7.5</v>
      </c>
      <c r="M74" t="n">
        <v>7</v>
      </c>
      <c r="O74" t="n">
        <v>1</v>
      </c>
      <c r="P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8</v>
      </c>
      <c r="AG74" t="inlineStr">
        <is>
          <t>alineado</t>
        </is>
      </c>
      <c r="AH74" t="inlineStr">
        <is>
          <t>alineado</t>
        </is>
      </c>
    </row>
    <row r="75">
      <c r="A75" t="inlineStr">
        <is>
          <t>Ventaja mecánica</t>
        </is>
      </c>
      <c r="B75" t="inlineStr">
        <is>
          <t>alineado</t>
        </is>
      </c>
      <c r="C75" t="n">
        <v>9</v>
      </c>
      <c r="F75" t="n">
        <v>8</v>
      </c>
      <c r="G75" t="n">
        <v>3</v>
      </c>
      <c r="H75" t="n">
        <v>2</v>
      </c>
      <c r="I75" t="n">
        <v>5</v>
      </c>
      <c r="J75" t="n">
        <v>2.5</v>
      </c>
      <c r="K75" t="n">
        <v>2</v>
      </c>
      <c r="M75" t="n">
        <v>7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V75" t="n">
        <v>1</v>
      </c>
      <c r="AF75" t="n">
        <v>10</v>
      </c>
      <c r="AG75" t="inlineStr">
        <is>
          <t>posterior</t>
        </is>
      </c>
      <c r="AH75" t="inlineStr">
        <is>
          <t>tardio</t>
        </is>
      </c>
    </row>
    <row r="76">
      <c r="A76" t="inlineStr">
        <is>
          <t>Aceleración y fuerza centrípeta</t>
        </is>
      </c>
      <c r="B76" t="inlineStr">
        <is>
          <t>incierto</t>
        </is>
      </c>
      <c r="C76" t="n">
        <v>5</v>
      </c>
      <c r="D76" t="n">
        <v>5</v>
      </c>
      <c r="M76" t="n">
        <v>7</v>
      </c>
      <c r="V76" t="n">
        <v>1</v>
      </c>
      <c r="AF76" t="n">
        <v>10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Caída libre</t>
        </is>
      </c>
      <c r="B77" t="inlineStr">
        <is>
          <t>incierto</t>
        </is>
      </c>
      <c r="C77" t="n">
        <v>5</v>
      </c>
      <c r="D77" t="n">
        <v>5</v>
      </c>
      <c r="G77" t="n">
        <v>8.5</v>
      </c>
      <c r="H77" t="n">
        <v>7</v>
      </c>
      <c r="J77" t="n">
        <v>7</v>
      </c>
      <c r="P77" t="n">
        <v>1</v>
      </c>
      <c r="Q77" t="n">
        <v>1</v>
      </c>
      <c r="S77" t="n">
        <v>1</v>
      </c>
      <c r="AF77" t="n">
        <v>8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Carga eléctrica y electrización</t>
        </is>
      </c>
      <c r="B78" t="inlineStr">
        <is>
          <t>incierto</t>
        </is>
      </c>
      <c r="C78" t="n">
        <v>3</v>
      </c>
      <c r="D78" t="n">
        <v>3</v>
      </c>
      <c r="F78" t="n">
        <v>8</v>
      </c>
      <c r="G78" t="n">
        <v>6</v>
      </c>
      <c r="H78" t="n">
        <v>7</v>
      </c>
      <c r="I78" t="n">
        <v>7</v>
      </c>
      <c r="J78" t="n">
        <v>7</v>
      </c>
      <c r="K78" t="n">
        <v>5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9</v>
      </c>
      <c r="AG78" t="inlineStr">
        <is>
          <t>adelantado</t>
        </is>
      </c>
      <c r="AH78" t="inlineStr">
        <is>
          <t>tardio</t>
        </is>
      </c>
    </row>
    <row r="79">
      <c r="A79" t="inlineStr">
        <is>
          <t>Desintegración radiactiva</t>
        </is>
      </c>
      <c r="B79" t="inlineStr">
        <is>
          <t>incierto</t>
        </is>
      </c>
      <c r="C79" t="n">
        <v>5</v>
      </c>
      <c r="D79" t="n">
        <v>5</v>
      </c>
      <c r="E79" t="n">
        <v>8</v>
      </c>
      <c r="F79" t="n">
        <v>8</v>
      </c>
      <c r="G79" t="n">
        <v>8.5</v>
      </c>
      <c r="N79" t="n">
        <v>1</v>
      </c>
      <c r="O79" t="n">
        <v>1</v>
      </c>
      <c r="P79" t="n">
        <v>1</v>
      </c>
      <c r="AF79" t="n">
        <v>11</v>
      </c>
      <c r="AG79" t="inlineStr">
        <is>
          <t>adelantado</t>
        </is>
      </c>
      <c r="AH79" t="inlineStr">
        <is>
          <t>posterior</t>
        </is>
      </c>
    </row>
    <row r="80">
      <c r="A80" t="inlineStr">
        <is>
          <t>Fisión y fusión nuclear</t>
        </is>
      </c>
      <c r="B80" t="inlineStr">
        <is>
          <t>incierto</t>
        </is>
      </c>
      <c r="C80" t="n">
        <v>8</v>
      </c>
      <c r="D80" t="n">
        <v>8</v>
      </c>
      <c r="F80" t="n">
        <v>8</v>
      </c>
      <c r="L80" t="n">
        <v>7.5</v>
      </c>
      <c r="M80" t="n">
        <v>7</v>
      </c>
      <c r="O80" t="n">
        <v>1</v>
      </c>
      <c r="U80" t="n">
        <v>1</v>
      </c>
      <c r="V80" t="n">
        <v>1</v>
      </c>
      <c r="AF80" t="n">
        <v>11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Fuerza neta y diagrama de cuerpo libre</t>
        </is>
      </c>
      <c r="B81" t="inlineStr">
        <is>
          <t>incierto</t>
        </is>
      </c>
      <c r="C81" t="n">
        <v>4</v>
      </c>
      <c r="D81" t="n">
        <v>4</v>
      </c>
      <c r="E81" t="n">
        <v>6</v>
      </c>
      <c r="G81" t="n">
        <v>6</v>
      </c>
      <c r="H81" t="n">
        <v>7</v>
      </c>
      <c r="I81" t="n">
        <v>8</v>
      </c>
      <c r="J81" t="n">
        <v>7</v>
      </c>
      <c r="K81" t="n">
        <v>4</v>
      </c>
      <c r="M81" t="n">
        <v>2.5</v>
      </c>
      <c r="N81" t="n">
        <v>1</v>
      </c>
      <c r="P81" t="n">
        <v>1</v>
      </c>
      <c r="Q81" t="n">
        <v>1</v>
      </c>
      <c r="R81" t="n">
        <v>1</v>
      </c>
      <c r="S81" t="n">
        <v>1</v>
      </c>
      <c r="T81" t="n">
        <v>1</v>
      </c>
      <c r="V81" t="n">
        <v>1</v>
      </c>
      <c r="AF81" t="n">
        <v>5</v>
      </c>
      <c r="AG81" t="inlineStr">
        <is>
          <t>adelantado</t>
        </is>
      </c>
      <c r="AH81" t="inlineStr">
        <is>
          <t>alineado</t>
        </is>
      </c>
    </row>
    <row r="82">
      <c r="A82" t="inlineStr">
        <is>
          <t>Ley de gravitación universal</t>
        </is>
      </c>
      <c r="B82" t="inlineStr">
        <is>
          <t>incierto</t>
        </is>
      </c>
      <c r="C82" t="n">
        <v>8</v>
      </c>
      <c r="D82" t="n">
        <v>8</v>
      </c>
      <c r="H82" t="n">
        <v>7</v>
      </c>
      <c r="M82" t="n">
        <v>7</v>
      </c>
      <c r="Q82" t="n">
        <v>1</v>
      </c>
      <c r="V82" t="n">
        <v>1</v>
      </c>
      <c r="AF82" t="n">
        <v>9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Modelo de partículas de la materia</t>
        </is>
      </c>
      <c r="B83" t="inlineStr">
        <is>
          <t>incierto</t>
        </is>
      </c>
      <c r="C83" t="n">
        <v>3</v>
      </c>
      <c r="D83" t="n">
        <v>3</v>
      </c>
      <c r="E83" t="n">
        <v>4</v>
      </c>
      <c r="F83" t="n">
        <v>8</v>
      </c>
      <c r="G83" t="n">
        <v>6</v>
      </c>
      <c r="H83" t="n">
        <v>7</v>
      </c>
      <c r="I83" t="n">
        <v>3</v>
      </c>
      <c r="J83" t="n">
        <v>7</v>
      </c>
      <c r="K83" t="n">
        <v>4</v>
      </c>
      <c r="L83" t="n">
        <v>7.5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t="n">
        <v>1</v>
      </c>
      <c r="Z83" t="n">
        <v>1</v>
      </c>
      <c r="AF83" t="n">
        <v>6</v>
      </c>
      <c r="AG83" t="inlineStr">
        <is>
          <t>adelantado</t>
        </is>
      </c>
      <c r="AH83" t="inlineStr">
        <is>
          <t>alineado</t>
        </is>
      </c>
    </row>
    <row r="84">
      <c r="A84" t="inlineStr">
        <is>
          <t>Aplicaciones de las leyes de Newton</t>
        </is>
      </c>
      <c r="B84" t="inlineStr">
        <is>
          <t>posterior</t>
        </is>
      </c>
      <c r="C84" t="n">
        <v>4</v>
      </c>
      <c r="D84" t="n">
        <v>4</v>
      </c>
      <c r="AF84" t="n">
        <v>8</v>
      </c>
      <c r="AG84" t="inlineStr">
        <is>
          <t>sin_referente</t>
        </is>
      </c>
      <c r="AH84" t="inlineStr">
        <is>
          <t>sin_referente</t>
        </is>
      </c>
    </row>
    <row r="85">
      <c r="A85" t="inlineStr">
        <is>
          <t>Observación astronómica en distintas longitudes de onda</t>
        </is>
      </c>
      <c r="B85" t="inlineStr">
        <is>
          <t>posterior</t>
        </is>
      </c>
      <c r="C85" t="n">
        <v>5</v>
      </c>
      <c r="D85" t="n">
        <v>5</v>
      </c>
      <c r="AF85" t="n">
        <v>11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Campo eléctrico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O86" t="n">
        <v>1</v>
      </c>
      <c r="P86" t="n">
        <v>1</v>
      </c>
      <c r="AF86" t="n">
        <v>9</v>
      </c>
      <c r="AG86" t="inlineStr">
        <is>
          <t>sin_referente</t>
        </is>
      </c>
      <c r="AH86" t="inlineStr">
        <is>
          <t>posterior</t>
        </is>
      </c>
    </row>
    <row r="87">
      <c r="A87" t="inlineStr">
        <is>
          <t>Centro de gravedad y estabilidad</t>
        </is>
      </c>
      <c r="B87" t="inlineStr">
        <is>
          <t>posterior</t>
        </is>
      </c>
      <c r="C87" t="n">
        <v>2</v>
      </c>
      <c r="D87" t="n">
        <v>2</v>
      </c>
      <c r="K87" t="n">
        <v>2</v>
      </c>
      <c r="T87" t="n">
        <v>1</v>
      </c>
      <c r="AF87" t="n">
        <v>10</v>
      </c>
      <c r="AG87" t="inlineStr">
        <is>
          <t>sin_referente</t>
        </is>
      </c>
      <c r="AH87" t="inlineStr">
        <is>
          <t>posterior</t>
        </is>
      </c>
    </row>
    <row r="88">
      <c r="A88" t="inlineStr">
        <is>
          <t>Corriente alterna y transformador</t>
        </is>
      </c>
      <c r="B88" t="inlineStr">
        <is>
          <t>posterior</t>
        </is>
      </c>
      <c r="C88" t="n">
        <v>9</v>
      </c>
      <c r="G88" t="n">
        <v>8.5</v>
      </c>
      <c r="I88" t="n">
        <v>7</v>
      </c>
      <c r="M88" t="n">
        <v>7</v>
      </c>
      <c r="P88" t="n">
        <v>1</v>
      </c>
      <c r="R88" t="n">
        <v>1</v>
      </c>
      <c r="V88" t="n">
        <v>1</v>
      </c>
      <c r="AF88" t="n">
        <v>9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Dualidad onda-partícula</t>
        </is>
      </c>
      <c r="B89" t="inlineStr">
        <is>
          <t>posterior</t>
        </is>
      </c>
      <c r="C89" t="n">
        <v>10</v>
      </c>
      <c r="E89" t="n">
        <v>8</v>
      </c>
      <c r="N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Efecto Doppler</t>
        </is>
      </c>
      <c r="B90" t="inlineStr">
        <is>
          <t>posterior</t>
        </is>
      </c>
      <c r="C90" t="n">
        <v>8</v>
      </c>
      <c r="D90" t="n">
        <v>8</v>
      </c>
      <c r="AF90" t="n">
        <v>11</v>
      </c>
      <c r="AG90" t="inlineStr">
        <is>
          <t>sin_referente</t>
        </is>
      </c>
      <c r="AH90" t="inlineStr">
        <is>
          <t>posterior</t>
        </is>
      </c>
    </row>
    <row r="91">
      <c r="A91" t="inlineStr">
        <is>
          <t>Esfuerzo, deformación y módulo de Young</t>
        </is>
      </c>
      <c r="B91" t="inlineStr">
        <is>
          <t>posterior</t>
        </is>
      </c>
      <c r="C91" t="n">
        <v>2</v>
      </c>
      <c r="D91" t="n">
        <v>2</v>
      </c>
      <c r="G91" t="n">
        <v>6</v>
      </c>
      <c r="K91" t="n">
        <v>2</v>
      </c>
      <c r="M91" t="n">
        <v>2.5</v>
      </c>
      <c r="P91" t="n">
        <v>1</v>
      </c>
      <c r="T91" t="n">
        <v>1</v>
      </c>
      <c r="V91" t="n">
        <v>1</v>
      </c>
      <c r="AF91" t="n">
        <v>2</v>
      </c>
      <c r="AG91" t="inlineStr">
        <is>
          <t>sin_referente</t>
        </is>
      </c>
      <c r="AH91" t="inlineStr">
        <is>
          <t>alineado</t>
        </is>
      </c>
    </row>
    <row r="92">
      <c r="A92" t="inlineStr">
        <is>
          <t>Defecto de masa y energía de enlace nuclear</t>
        </is>
      </c>
      <c r="B92" t="inlineStr">
        <is>
          <t>posterior</t>
        </is>
      </c>
      <c r="C92" t="n">
        <v>11</v>
      </c>
      <c r="F92" t="n">
        <v>8</v>
      </c>
      <c r="O92" t="n">
        <v>1</v>
      </c>
      <c r="AF92" t="n">
        <v>11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Espejos esféricos</t>
        </is>
      </c>
      <c r="B93" t="inlineStr">
        <is>
          <t>posterior</t>
        </is>
      </c>
      <c r="C93" t="n">
        <v>10</v>
      </c>
      <c r="F93" t="n">
        <v>8</v>
      </c>
      <c r="H93" t="n">
        <v>5</v>
      </c>
      <c r="J93" t="n">
        <v>7</v>
      </c>
      <c r="L93" t="n">
        <v>7.5</v>
      </c>
      <c r="M93" t="n">
        <v>7</v>
      </c>
      <c r="O93" t="n">
        <v>1</v>
      </c>
      <c r="Q93" t="n">
        <v>1</v>
      </c>
      <c r="S93" t="n">
        <v>1</v>
      </c>
      <c r="U93" t="n">
        <v>1</v>
      </c>
      <c r="V93" t="n">
        <v>1</v>
      </c>
      <c r="AF93" t="n">
        <v>10</v>
      </c>
      <c r="AG93" t="inlineStr">
        <is>
          <t>posterior</t>
        </is>
      </c>
      <c r="AH93" t="inlineStr">
        <is>
          <t>tardio</t>
        </is>
      </c>
    </row>
    <row r="94">
      <c r="A94" t="inlineStr">
        <is>
          <t>Fotón y efecto fotoeléctrico</t>
        </is>
      </c>
      <c r="B94" t="inlineStr">
        <is>
          <t>posterior</t>
        </is>
      </c>
      <c r="C94" t="n">
        <v>10</v>
      </c>
      <c r="E94" t="n">
        <v>8</v>
      </c>
      <c r="G94" t="n">
        <v>6</v>
      </c>
      <c r="N94" t="n">
        <v>1</v>
      </c>
      <c r="P94" t="n">
        <v>1</v>
      </c>
      <c r="AF94" t="n">
        <v>10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Inducción electromagnética: Faraday y Lenz</t>
        </is>
      </c>
      <c r="B95" t="inlineStr">
        <is>
          <t>posterior</t>
        </is>
      </c>
      <c r="C95" t="n">
        <v>4</v>
      </c>
      <c r="D95" t="n">
        <v>4</v>
      </c>
      <c r="F95" t="n">
        <v>8</v>
      </c>
      <c r="G95" t="n">
        <v>8.5</v>
      </c>
      <c r="I95" t="n">
        <v>5</v>
      </c>
      <c r="M95" t="n">
        <v>7</v>
      </c>
      <c r="O95" t="n">
        <v>1</v>
      </c>
      <c r="P95" t="n">
        <v>1</v>
      </c>
      <c r="R95" t="n">
        <v>1</v>
      </c>
      <c r="V95" t="n">
        <v>1</v>
      </c>
      <c r="AF95" t="n">
        <v>11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Ley de Coulomb</t>
        </is>
      </c>
      <c r="B96" t="inlineStr">
        <is>
          <t>posterior</t>
        </is>
      </c>
      <c r="C96" t="n">
        <v>3</v>
      </c>
      <c r="D96" t="n">
        <v>3</v>
      </c>
      <c r="F96" t="n">
        <v>8</v>
      </c>
      <c r="G96" t="n">
        <v>6</v>
      </c>
      <c r="I96" t="n">
        <v>7</v>
      </c>
      <c r="J96" t="n">
        <v>7</v>
      </c>
      <c r="M96" t="n">
        <v>7</v>
      </c>
      <c r="O96" t="n">
        <v>1</v>
      </c>
      <c r="P96" t="n">
        <v>1</v>
      </c>
      <c r="R96" t="n">
        <v>1</v>
      </c>
      <c r="S96" t="n">
        <v>1</v>
      </c>
      <c r="V96" t="n">
        <v>1</v>
      </c>
      <c r="AF96" t="n">
        <v>9</v>
      </c>
      <c r="AG96" t="inlineStr">
        <is>
          <t>sin_referente</t>
        </is>
      </c>
      <c r="AH96" t="inlineStr">
        <is>
          <t>alineado</t>
        </is>
      </c>
    </row>
    <row r="97">
      <c r="A97" t="inlineStr">
        <is>
          <t>Leyes de Kepler</t>
        </is>
      </c>
      <c r="B97" t="inlineStr">
        <is>
          <t>posterior</t>
        </is>
      </c>
      <c r="C97" t="n">
        <v>4</v>
      </c>
      <c r="D97" t="n">
        <v>4</v>
      </c>
      <c r="AF97" t="n">
        <v>11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Fuerza electromotriz y leyes de Kirchhoff</t>
        </is>
      </c>
      <c r="B98" t="inlineStr">
        <is>
          <t>posterior</t>
        </is>
      </c>
      <c r="C98" t="n">
        <v>11</v>
      </c>
      <c r="G98" t="n">
        <v>6</v>
      </c>
      <c r="I98" t="n">
        <v>7</v>
      </c>
      <c r="P98" t="n">
        <v>1</v>
      </c>
      <c r="R98" t="n">
        <v>1</v>
      </c>
      <c r="AF98" t="n">
        <v>11</v>
      </c>
      <c r="AG98" t="inlineStr">
        <is>
          <t>posterior</t>
        </is>
      </c>
      <c r="AH98" t="inlineStr">
        <is>
          <t>posterior</t>
        </is>
      </c>
    </row>
    <row r="99">
      <c r="A99" t="inlineStr">
        <is>
          <t>Núcleo atómico e isótopos</t>
        </is>
      </c>
      <c r="B99" t="inlineStr">
        <is>
          <t>posterior</t>
        </is>
      </c>
      <c r="C99" t="n">
        <v>9</v>
      </c>
      <c r="F99" t="n">
        <v>8</v>
      </c>
      <c r="G99" t="n">
        <v>8.5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Ondas electromagnéticas y espectro</t>
        </is>
      </c>
      <c r="B100" t="inlineStr">
        <is>
          <t>posterior</t>
        </is>
      </c>
      <c r="C100" t="n">
        <v>9</v>
      </c>
      <c r="F100" t="n">
        <v>8</v>
      </c>
      <c r="G100" t="n">
        <v>6</v>
      </c>
      <c r="H100" t="n">
        <v>7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U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tardio</t>
        </is>
      </c>
    </row>
    <row r="101">
      <c r="A101" t="inlineStr">
        <is>
          <t>Ondas de radio y telecomunicaciones</t>
        </is>
      </c>
      <c r="B101" t="inlineStr">
        <is>
          <t>posterior</t>
        </is>
      </c>
      <c r="C101" t="n">
        <v>11</v>
      </c>
      <c r="G101" t="n">
        <v>8.5</v>
      </c>
      <c r="H101" t="n">
        <v>7</v>
      </c>
      <c r="M101" t="n">
        <v>4.5</v>
      </c>
      <c r="P101" t="n">
        <v>1</v>
      </c>
      <c r="Q101" t="n">
        <v>1</v>
      </c>
      <c r="V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Energía potencial y potencial eléctrico</t>
        </is>
      </c>
      <c r="B102" t="inlineStr">
        <is>
          <t>posterior</t>
        </is>
      </c>
      <c r="C102" t="n">
        <v>8</v>
      </c>
      <c r="D102" t="n">
        <v>8</v>
      </c>
      <c r="G102" t="n">
        <v>8.5</v>
      </c>
      <c r="H102" t="n">
        <v>7</v>
      </c>
      <c r="P102" t="n">
        <v>1</v>
      </c>
      <c r="Q102" t="n">
        <v>1</v>
      </c>
      <c r="AF102" t="n">
        <v>11</v>
      </c>
      <c r="AG102" t="inlineStr">
        <is>
          <t>sin_referente</t>
        </is>
      </c>
      <c r="AH102" t="inlineStr">
        <is>
          <t>posterior</t>
        </is>
      </c>
    </row>
    <row r="103">
      <c r="A103" t="inlineStr">
        <is>
          <t>Radiación ionizante: detección, efectos y aplicaciones</t>
        </is>
      </c>
      <c r="B103" t="inlineStr">
        <is>
          <t>posterior</t>
        </is>
      </c>
      <c r="C103" t="n">
        <v>11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Radiación térmica y cuerpo negro</t>
        </is>
      </c>
      <c r="B104" t="inlineStr">
        <is>
          <t>posterior</t>
        </is>
      </c>
      <c r="C104" t="n">
        <v>10</v>
      </c>
      <c r="H104" t="n">
        <v>7</v>
      </c>
      <c r="J104" t="n">
        <v>7</v>
      </c>
      <c r="K104" t="n">
        <v>6</v>
      </c>
      <c r="L104" t="n">
        <v>7.5</v>
      </c>
      <c r="Q104" t="n">
        <v>1</v>
      </c>
      <c r="S104" t="n">
        <v>1</v>
      </c>
      <c r="T104" t="n">
        <v>1</v>
      </c>
      <c r="U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Rapidez de la luz</t>
        </is>
      </c>
      <c r="B105" t="inlineStr">
        <is>
          <t>posterior</t>
        </is>
      </c>
      <c r="C105" t="n">
        <v>10</v>
      </c>
      <c r="G105" t="n">
        <v>6</v>
      </c>
      <c r="H105" t="n">
        <v>7</v>
      </c>
      <c r="L105" t="n">
        <v>7.5</v>
      </c>
      <c r="M105" t="n">
        <v>7</v>
      </c>
      <c r="P105" t="n">
        <v>1</v>
      </c>
      <c r="Q105" t="n">
        <v>1</v>
      </c>
      <c r="U105" t="n">
        <v>1</v>
      </c>
      <c r="V105" t="n">
        <v>1</v>
      </c>
      <c r="Z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Reflexión interna total</t>
        </is>
      </c>
      <c r="B106" t="inlineStr">
        <is>
          <t>posterior</t>
        </is>
      </c>
      <c r="C106" t="n">
        <v>10</v>
      </c>
      <c r="H106" t="n">
        <v>7</v>
      </c>
      <c r="Q106" t="n">
        <v>1</v>
      </c>
      <c r="AF106" t="n">
        <v>10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Segunda ley de la termodinámica</t>
        </is>
      </c>
      <c r="B107" t="inlineStr">
        <is>
          <t>posterior</t>
        </is>
      </c>
      <c r="C107" t="n">
        <v>5</v>
      </c>
      <c r="D107" t="n">
        <v>5</v>
      </c>
      <c r="G107" t="n">
        <v>8.5</v>
      </c>
      <c r="P107" t="n">
        <v>1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Semiconductores y electrónica básica</t>
        </is>
      </c>
      <c r="B108" t="inlineStr">
        <is>
          <t>posterior</t>
        </is>
      </c>
      <c r="C108" t="n">
        <v>9</v>
      </c>
      <c r="J108" t="n">
        <v>7</v>
      </c>
      <c r="S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Superposición e interferencia de ondas</t>
        </is>
      </c>
      <c r="B109" t="inlineStr">
        <is>
          <t>posterior</t>
        </is>
      </c>
      <c r="C109" t="n">
        <v>10</v>
      </c>
      <c r="G109" t="n">
        <v>6</v>
      </c>
      <c r="P109" t="n">
        <v>1</v>
      </c>
      <c r="AF109" t="n">
        <v>11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Gas ideal y teoría cinética</t>
        </is>
      </c>
      <c r="B110" t="inlineStr">
        <is>
          <t>posterior</t>
        </is>
      </c>
      <c r="C110" t="n">
        <v>8</v>
      </c>
      <c r="D110" t="n">
        <v>8</v>
      </c>
      <c r="G110" t="n">
        <v>6</v>
      </c>
      <c r="J110" t="n">
        <v>2.5</v>
      </c>
      <c r="M110" t="n">
        <v>4.5</v>
      </c>
      <c r="P110" t="n">
        <v>1</v>
      </c>
      <c r="S110" t="n">
        <v>1</v>
      </c>
      <c r="V110" t="n">
        <v>1</v>
      </c>
      <c r="Z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Viscosidad y régimen de flujo</t>
        </is>
      </c>
      <c r="B111" t="inlineStr">
        <is>
          <t>posterior</t>
        </is>
      </c>
      <c r="C111" t="n">
        <v>9</v>
      </c>
      <c r="K111" t="n">
        <v>7</v>
      </c>
      <c r="T111" t="n">
        <v>1</v>
      </c>
      <c r="AF111" t="n">
        <v>9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Colisiones elásticas e inelásticas</t>
        </is>
      </c>
      <c r="B112" t="inlineStr">
        <is>
          <t>sin_referente</t>
        </is>
      </c>
      <c r="C112" t="n">
        <v>8</v>
      </c>
      <c r="D112" t="n">
        <v>8</v>
      </c>
      <c r="G112" t="n">
        <v>8.5</v>
      </c>
      <c r="P112" t="n">
        <v>1</v>
      </c>
      <c r="AF112" t="n">
        <v>10</v>
      </c>
      <c r="AG112" t="inlineStr">
        <is>
          <t>sin_referente</t>
        </is>
      </c>
      <c r="AH112" t="inlineStr">
        <is>
          <t>posterior</t>
        </is>
      </c>
    </row>
    <row r="113">
      <c r="A113" t="inlineStr">
        <is>
          <t>Conservación del momento lineal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Expansión del universo y Big Bang</t>
        </is>
      </c>
      <c r="B114" t="inlineStr">
        <is>
          <t>sin_referente</t>
        </is>
      </c>
      <c r="C114" t="n">
        <v>5</v>
      </c>
      <c r="D114" t="n">
        <v>5</v>
      </c>
      <c r="H114" t="n">
        <v>4</v>
      </c>
      <c r="J114" t="n">
        <v>7</v>
      </c>
      <c r="K114" t="n">
        <v>8</v>
      </c>
      <c r="Q114" t="n">
        <v>1</v>
      </c>
      <c r="S114" t="n">
        <v>1</v>
      </c>
      <c r="T114" t="n">
        <v>1</v>
      </c>
      <c r="AF114" t="n">
        <v>5</v>
      </c>
      <c r="AG114" t="inlineStr">
        <is>
          <t>sin_referente</t>
        </is>
      </c>
      <c r="AH114" t="inlineStr">
        <is>
          <t>adelantado</t>
        </is>
      </c>
    </row>
    <row r="115">
      <c r="A115" t="inlineStr">
        <is>
          <t>Dinámica y energía de rotación</t>
        </is>
      </c>
      <c r="B115" t="inlineStr">
        <is>
          <t>sin_referente</t>
        </is>
      </c>
      <c r="C115" t="n">
        <v>5</v>
      </c>
      <c r="D115" t="n">
        <v>5</v>
      </c>
      <c r="AF115" t="n">
        <v>8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Movimiento armónico simple</t>
        </is>
      </c>
      <c r="B116" t="inlineStr">
        <is>
          <t>sin_referente</t>
        </is>
      </c>
      <c r="C116" t="n">
        <v>8</v>
      </c>
      <c r="D116" t="n">
        <v>8</v>
      </c>
      <c r="F116" t="n">
        <v>8</v>
      </c>
      <c r="I116" t="n">
        <v>4</v>
      </c>
      <c r="O116" t="n">
        <v>1</v>
      </c>
      <c r="R116" t="n">
        <v>1</v>
      </c>
      <c r="AF116" t="n">
        <v>8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Movimiento circular y variables angulares</t>
        </is>
      </c>
      <c r="B117" t="inlineStr">
        <is>
          <t>sin_referente</t>
        </is>
      </c>
      <c r="C117" t="n">
        <v>5</v>
      </c>
      <c r="D117" t="n">
        <v>5</v>
      </c>
      <c r="G117" t="n">
        <v>8.5</v>
      </c>
      <c r="K117" t="n">
        <v>3</v>
      </c>
      <c r="M117" t="n">
        <v>7</v>
      </c>
      <c r="P117" t="n">
        <v>1</v>
      </c>
      <c r="T117" t="n">
        <v>1</v>
      </c>
      <c r="V117" t="n">
        <v>1</v>
      </c>
      <c r="AF117" t="n">
        <v>5</v>
      </c>
      <c r="AG117" t="inlineStr">
        <is>
          <t>sin_referente</t>
        </is>
      </c>
      <c r="AH117" t="inlineStr">
        <is>
          <t>adelantado</t>
        </is>
      </c>
    </row>
    <row r="118">
      <c r="A118" t="inlineStr">
        <is>
          <t>Cinemática en dos dimensiones y proyectiles</t>
        </is>
      </c>
      <c r="B118" t="inlineStr">
        <is>
          <t>sin_referente</t>
        </is>
      </c>
      <c r="C118" t="n">
        <v>8</v>
      </c>
      <c r="D118" t="n">
        <v>8</v>
      </c>
      <c r="G118" t="n">
        <v>6</v>
      </c>
      <c r="P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Niveles de energía atómicos y espectros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P119" t="n">
        <v>1</v>
      </c>
      <c r="AG119" t="inlineStr">
        <is>
          <t>sin_referente</t>
        </is>
      </c>
      <c r="AH119" t="inlineStr">
        <is>
          <t>no_aplica</t>
        </is>
      </c>
    </row>
    <row r="120">
      <c r="A120" t="inlineStr">
        <is>
          <t>Ondas estacionarias y armónicos</t>
        </is>
      </c>
      <c r="B120" t="inlineStr">
        <is>
          <t>sin_referente</t>
        </is>
      </c>
      <c r="C120" t="n">
        <v>8</v>
      </c>
      <c r="D120" t="n">
        <v>8</v>
      </c>
      <c r="H120" t="n">
        <v>7</v>
      </c>
      <c r="M120" t="n">
        <v>7</v>
      </c>
      <c r="Q120" t="n">
        <v>1</v>
      </c>
      <c r="V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Órbitas y satélites</t>
        </is>
      </c>
      <c r="B121" t="inlineStr">
        <is>
          <t>sin_referente</t>
        </is>
      </c>
      <c r="C121" t="n">
        <v>8</v>
      </c>
      <c r="D121" t="n">
        <v>8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Hidrodinámica: continuidad y Bernoulli</t>
        </is>
      </c>
      <c r="B122" t="inlineStr">
        <is>
          <t>sin_referente</t>
        </is>
      </c>
      <c r="C122" t="n">
        <v>6</v>
      </c>
      <c r="D122" t="n">
        <v>6</v>
      </c>
      <c r="H122" t="n">
        <v>7</v>
      </c>
      <c r="K122" t="n">
        <v>5</v>
      </c>
      <c r="Q122" t="n">
        <v>1</v>
      </c>
      <c r="T122" t="n">
        <v>1</v>
      </c>
      <c r="AF122" t="n">
        <v>6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Suma de vectores y componentes rectangulares</t>
        </is>
      </c>
      <c r="B123" t="inlineStr">
        <is>
          <t>sin_referente</t>
        </is>
      </c>
      <c r="C123" t="n">
        <v>5</v>
      </c>
      <c r="D123" t="n">
        <v>5</v>
      </c>
      <c r="G123" t="n">
        <v>6</v>
      </c>
      <c r="H123" t="n">
        <v>7</v>
      </c>
      <c r="I123" t="n">
        <v>8</v>
      </c>
      <c r="J123" t="n">
        <v>7</v>
      </c>
      <c r="P123" t="n">
        <v>1</v>
      </c>
      <c r="Q123" t="n">
        <v>1</v>
      </c>
      <c r="R123" t="n">
        <v>1</v>
      </c>
      <c r="S123" t="n">
        <v>1</v>
      </c>
      <c r="AF123" t="n">
        <v>8</v>
      </c>
      <c r="AG123" t="inlineStr">
        <is>
          <t>sin_referente</t>
        </is>
      </c>
      <c r="AH123" t="inlineStr">
        <is>
          <t>alineado</t>
        </is>
      </c>
    </row>
    <row r="124">
      <c r="A124" t="inlineStr">
        <is>
          <t>Tensión superficial y capilaridad</t>
        </is>
      </c>
      <c r="B124" t="inlineStr">
        <is>
          <t>sin_referente</t>
        </is>
      </c>
      <c r="C124" t="n">
        <v>3</v>
      </c>
      <c r="D124" t="n">
        <v>3</v>
      </c>
      <c r="M124" t="n">
        <v>2.5</v>
      </c>
      <c r="V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Espejos planos e imágenes</t>
        </is>
      </c>
      <c r="B125" t="inlineStr">
        <is>
          <t>tardio</t>
        </is>
      </c>
      <c r="C125" t="n">
        <v>7</v>
      </c>
      <c r="D125" t="n">
        <v>7</v>
      </c>
      <c r="H125" t="n">
        <v>3</v>
      </c>
      <c r="J125" t="n">
        <v>4.5</v>
      </c>
      <c r="L125" t="n">
        <v>7.5</v>
      </c>
      <c r="M125" t="n">
        <v>7</v>
      </c>
      <c r="Q125" t="n">
        <v>1</v>
      </c>
      <c r="S125" t="n">
        <v>1</v>
      </c>
      <c r="U125" t="n">
        <v>1</v>
      </c>
      <c r="V125" t="n">
        <v>1</v>
      </c>
      <c r="AF125" t="n">
        <v>10</v>
      </c>
      <c r="AG125" t="inlineStr">
        <is>
          <t>alineado</t>
        </is>
      </c>
      <c r="AH125" t="inlineStr">
        <is>
          <t>posterior</t>
        </is>
      </c>
    </row>
    <row r="126">
      <c r="A126" t="inlineStr">
        <is>
          <t>Lentes delgadas e imágenes</t>
        </is>
      </c>
      <c r="B126" t="inlineStr">
        <is>
          <t>tardio</t>
        </is>
      </c>
      <c r="C126" t="n">
        <v>10</v>
      </c>
      <c r="F126" t="n">
        <v>8</v>
      </c>
      <c r="H126" t="n">
        <v>5</v>
      </c>
      <c r="I126" t="n">
        <v>6</v>
      </c>
      <c r="J126" t="n">
        <v>4.5</v>
      </c>
      <c r="M126" t="n">
        <v>4.5</v>
      </c>
      <c r="O126" t="n">
        <v>1</v>
      </c>
      <c r="Q126" t="n">
        <v>1</v>
      </c>
      <c r="R126" t="n">
        <v>1</v>
      </c>
      <c r="S126" t="n">
        <v>1</v>
      </c>
      <c r="V126" t="n">
        <v>1</v>
      </c>
      <c r="Z126" t="n">
        <v>1</v>
      </c>
      <c r="AF126" t="n">
        <v>10</v>
      </c>
      <c r="AG126" t="inlineStr">
        <is>
          <t>tardio</t>
        </is>
      </c>
      <c r="AH126" t="inlineStr">
        <is>
          <t>tardio</t>
        </is>
      </c>
    </row>
    <row r="127">
      <c r="A127" t="inlineStr">
        <is>
          <t>Masa y peso</t>
        </is>
      </c>
      <c r="B127" t="inlineStr">
        <is>
          <t>tardio</t>
        </is>
      </c>
      <c r="C127" t="n">
        <v>2</v>
      </c>
      <c r="D127" t="n">
        <v>2</v>
      </c>
      <c r="E127" t="n">
        <v>2</v>
      </c>
      <c r="F127" t="n">
        <v>2.5</v>
      </c>
      <c r="G127" t="n">
        <v>6</v>
      </c>
      <c r="H127" t="n">
        <v>2</v>
      </c>
      <c r="I127" t="n">
        <v>2</v>
      </c>
      <c r="J127" t="n">
        <v>2.5</v>
      </c>
      <c r="K127" t="n">
        <v>5</v>
      </c>
      <c r="L127" t="n">
        <v>6</v>
      </c>
      <c r="M127" t="n">
        <v>2.5</v>
      </c>
      <c r="N127" t="n">
        <v>1</v>
      </c>
      <c r="O127" t="n">
        <v>1</v>
      </c>
      <c r="P127" t="n">
        <v>1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t="n">
        <v>1</v>
      </c>
      <c r="AF127" t="n">
        <v>2</v>
      </c>
      <c r="AG127" t="inlineStr">
        <is>
          <t>adelantado</t>
        </is>
      </c>
      <c r="AH127" t="inlineStr">
        <is>
          <t>alineado</t>
        </is>
      </c>
    </row>
    <row r="128">
      <c r="A128" t="inlineStr">
        <is>
          <t>El ojo y los instrumentos ópticos</t>
        </is>
      </c>
      <c r="B128" t="inlineStr">
        <is>
          <t>tardio</t>
        </is>
      </c>
      <c r="C128" t="n">
        <v>3</v>
      </c>
      <c r="D128" t="n">
        <v>3</v>
      </c>
      <c r="F128" t="n">
        <v>8</v>
      </c>
      <c r="G128" t="n">
        <v>6</v>
      </c>
      <c r="H128" t="n">
        <v>5</v>
      </c>
      <c r="J128" t="n">
        <v>4.5</v>
      </c>
      <c r="K128" t="n">
        <v>3</v>
      </c>
      <c r="M128" t="n">
        <v>2.5</v>
      </c>
      <c r="O128" t="n">
        <v>1</v>
      </c>
      <c r="P128" t="n">
        <v>1</v>
      </c>
      <c r="Q128" t="n">
        <v>1</v>
      </c>
      <c r="S128" t="n">
        <v>1</v>
      </c>
      <c r="T128" t="n">
        <v>1</v>
      </c>
      <c r="V128" t="n">
        <v>1</v>
      </c>
      <c r="Z128" t="n">
        <v>1</v>
      </c>
      <c r="AF128" t="n">
        <v>10</v>
      </c>
      <c r="AG128" t="inlineStr">
        <is>
          <t>adelantado</t>
        </is>
      </c>
      <c r="AH128" t="inlineStr">
        <is>
          <t>tardio</t>
        </is>
      </c>
    </row>
    <row r="129">
      <c r="A129" t="inlineStr">
        <is>
          <t>Refracción de la luz</t>
        </is>
      </c>
      <c r="B129" t="inlineStr">
        <is>
          <t>tardio</t>
        </is>
      </c>
      <c r="C129" t="n">
        <v>7</v>
      </c>
      <c r="D129" t="n">
        <v>7</v>
      </c>
      <c r="E129" t="n">
        <v>4</v>
      </c>
      <c r="F129" t="n">
        <v>8</v>
      </c>
      <c r="G129" t="n">
        <v>8.5</v>
      </c>
      <c r="H129" t="n">
        <v>5</v>
      </c>
      <c r="I129" t="n">
        <v>6</v>
      </c>
      <c r="J129" t="n">
        <v>4.5</v>
      </c>
      <c r="K129" t="n">
        <v>3</v>
      </c>
      <c r="L129" t="n">
        <v>7.5</v>
      </c>
      <c r="M129" t="n">
        <v>4.5</v>
      </c>
      <c r="N129" t="n">
        <v>1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Z129" t="n">
        <v>1</v>
      </c>
      <c r="AF129" t="n">
        <v>7</v>
      </c>
      <c r="AG129" t="inlineStr">
        <is>
          <t>alineado</t>
        </is>
      </c>
      <c r="AH12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COUNTIF(Datos!B2:B129,A2)</f>
        <v/>
      </c>
    </row>
    <row r="3">
      <c r="A3" t="inlineStr">
        <is>
          <t>tardio</t>
        </is>
      </c>
      <c r="B3">
        <f>COUNTIF(Datos!B2:B129,A3)</f>
        <v/>
      </c>
    </row>
    <row r="4">
      <c r="A4" t="inlineStr">
        <is>
          <t>posterior</t>
        </is>
      </c>
      <c r="B4">
        <f>COUNTIF(Datos!B2:B129,A4)</f>
        <v/>
      </c>
    </row>
    <row r="5">
      <c r="A5" t="inlineStr">
        <is>
          <t>adelantado</t>
        </is>
      </c>
      <c r="B5">
        <f>COUNTIF(Datos!B2:B129,A5)</f>
        <v/>
      </c>
    </row>
    <row r="6">
      <c r="A6" t="inlineStr">
        <is>
          <t>sin_referente</t>
        </is>
      </c>
      <c r="B6">
        <f>COUNTIF(Datos!B2:B129,A6)</f>
        <v/>
      </c>
    </row>
    <row r="7">
      <c r="A7" t="inlineStr">
        <is>
          <t>alineado</t>
        </is>
      </c>
      <c r="B7">
        <f>COUNTIF(Datos!B2:B129,A7)</f>
        <v/>
      </c>
    </row>
    <row r="8">
      <c r="A8" t="inlineStr">
        <is>
          <t>incierto</t>
        </is>
      </c>
      <c r="B8">
        <f>COUNTIF(Datos!B2:B129,A8)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