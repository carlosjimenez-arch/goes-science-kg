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Contraste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Clase (IA)</t>
        </is>
      </c>
      <c r="C1" s="1" t="inlineStr">
        <is>
          <t>Grado SV V2</t>
        </is>
      </c>
      <c r="D1" s="1" t="inlineStr">
        <is>
          <t>Grado SV en 2-8</t>
        </is>
      </c>
      <c r="E1" s="1" t="inlineStr">
        <is>
          <t>AU nucleo</t>
        </is>
      </c>
      <c r="F1" s="1" t="inlineStr">
        <is>
          <t>EE nucleo</t>
        </is>
      </c>
      <c r="G1" s="1" t="inlineStr">
        <is>
          <t>ENG nucleo</t>
        </is>
      </c>
      <c r="H1" s="1" t="inlineStr">
        <is>
          <t>HK nucleo</t>
        </is>
      </c>
      <c r="I1" s="1" t="inlineStr">
        <is>
          <t>JP nucleo</t>
        </is>
      </c>
      <c r="J1" s="1" t="inlineStr">
        <is>
          <t>KR nucleo</t>
        </is>
      </c>
      <c r="K1" s="1" t="inlineStr">
        <is>
          <t>ON nucleo</t>
        </is>
      </c>
      <c r="L1" s="1" t="inlineStr">
        <is>
          <t>SG nucleo</t>
        </is>
      </c>
      <c r="M1" s="1" t="inlineStr">
        <is>
          <t>TW nucleo</t>
        </is>
      </c>
      <c r="N1" s="1" t="inlineStr">
        <is>
          <t>AU nucleo 2-8</t>
        </is>
      </c>
      <c r="O1" s="1" t="inlineStr">
        <is>
          <t>EE nucleo 2-8</t>
        </is>
      </c>
      <c r="P1" s="1" t="inlineStr">
        <is>
          <t>ENG nucleo 2-8</t>
        </is>
      </c>
      <c r="Q1" s="1" t="inlineStr">
        <is>
          <t>HK nucleo 2-8</t>
        </is>
      </c>
      <c r="R1" s="1" t="inlineStr">
        <is>
          <t>JP nucleo 2-8</t>
        </is>
      </c>
      <c r="S1" s="1" t="inlineStr">
        <is>
          <t>KR nucleo 2-8</t>
        </is>
      </c>
      <c r="T1" s="1" t="inlineStr">
        <is>
          <t>ON nucleo 2-8</t>
        </is>
      </c>
      <c r="U1" s="1" t="inlineStr">
        <is>
          <t>SG nucleo 2-8</t>
        </is>
      </c>
      <c r="V1" s="1" t="inlineStr">
        <is>
          <t>TW nucleo 2-8</t>
        </is>
      </c>
      <c r="W1" s="1" t="inlineStr">
        <is>
          <t>AU esp</t>
        </is>
      </c>
      <c r="X1" s="1" t="inlineStr">
        <is>
          <t>EE esp</t>
        </is>
      </c>
      <c r="Y1" s="1" t="inlineStr">
        <is>
          <t>ENG esp</t>
        </is>
      </c>
      <c r="Z1" s="1" t="inlineStr">
        <is>
          <t>HK esp</t>
        </is>
      </c>
      <c r="AA1" s="1" t="inlineStr">
        <is>
          <t>JP esp</t>
        </is>
      </c>
      <c r="AB1" s="1" t="inlineStr">
        <is>
          <t>KR esp</t>
        </is>
      </c>
      <c r="AC1" s="1" t="inlineStr">
        <is>
          <t>ON esp</t>
        </is>
      </c>
      <c r="AD1" s="1" t="inlineStr">
        <is>
          <t>SG esp</t>
        </is>
      </c>
      <c r="AE1" s="1" t="inlineStr">
        <is>
          <t>TW esp</t>
        </is>
      </c>
      <c r="AF1" s="1" t="inlineStr">
        <is>
          <t>Grado SV solido</t>
        </is>
      </c>
      <c r="AG1" s="1" t="inlineStr">
        <is>
          <t>Lectura amplia</t>
        </is>
      </c>
      <c r="AH1" s="1" t="inlineStr">
        <is>
          <t>Lectura estricta</t>
        </is>
      </c>
    </row>
    <row r="2">
      <c r="A2" t="inlineStr">
        <is>
          <t>Aguas subterráneas y acuíferos</t>
        </is>
      </c>
      <c r="B2" t="inlineStr">
        <is>
          <t>adelantado</t>
        </is>
      </c>
      <c r="C2" t="n">
        <v>3</v>
      </c>
      <c r="D2" t="n">
        <v>3</v>
      </c>
      <c r="F2" t="n">
        <v>5</v>
      </c>
      <c r="I2" t="n">
        <v>3</v>
      </c>
      <c r="J2" t="n">
        <v>7</v>
      </c>
      <c r="K2" t="n">
        <v>7</v>
      </c>
      <c r="M2" t="n">
        <v>4.5</v>
      </c>
      <c r="O2" t="n">
        <v>1</v>
      </c>
      <c r="R2" t="n">
        <v>1</v>
      </c>
      <c r="S2" t="n">
        <v>1</v>
      </c>
      <c r="T2" t="n">
        <v>1</v>
      </c>
      <c r="V2" t="n">
        <v>1</v>
      </c>
      <c r="AF2" t="n">
        <v>3</v>
      </c>
      <c r="AG2" t="inlineStr">
        <is>
          <t>adelantado</t>
        </is>
      </c>
      <c r="AH2" t="inlineStr">
        <is>
          <t>adelantado</t>
        </is>
      </c>
    </row>
    <row r="3">
      <c r="A3" t="inlineStr">
        <is>
          <t>Amenazas naturales geológicas e hidrometeorológicas</t>
        </is>
      </c>
      <c r="B3" t="inlineStr">
        <is>
          <t>adelantado</t>
        </is>
      </c>
      <c r="C3" t="n">
        <v>2</v>
      </c>
      <c r="D3" t="n">
        <v>2</v>
      </c>
      <c r="F3" t="n">
        <v>5</v>
      </c>
      <c r="H3" t="n">
        <v>5</v>
      </c>
      <c r="I3" t="n">
        <v>5</v>
      </c>
      <c r="J3" t="n">
        <v>2.5</v>
      </c>
      <c r="K3" t="n">
        <v>3</v>
      </c>
      <c r="L3" t="n">
        <v>7.5</v>
      </c>
      <c r="M3" t="n">
        <v>2.5</v>
      </c>
      <c r="O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Z3" t="n">
        <v>1</v>
      </c>
      <c r="AF3" t="n">
        <v>2</v>
      </c>
      <c r="AG3" t="inlineStr">
        <is>
          <t>adelantado</t>
        </is>
      </c>
      <c r="AH3" t="inlineStr">
        <is>
          <t>adelantado</t>
        </is>
      </c>
    </row>
    <row r="4">
      <c r="A4" t="inlineStr">
        <is>
          <t>Capas internas de la Tierra</t>
        </is>
      </c>
      <c r="B4" t="inlineStr">
        <is>
          <t>adelantado</t>
        </is>
      </c>
      <c r="C4" t="n">
        <v>3</v>
      </c>
      <c r="D4" t="n">
        <v>3</v>
      </c>
      <c r="F4" t="n">
        <v>8</v>
      </c>
      <c r="G4" t="n">
        <v>6</v>
      </c>
      <c r="H4" t="n">
        <v>3</v>
      </c>
      <c r="J4" t="n">
        <v>7</v>
      </c>
      <c r="M4" t="n">
        <v>7</v>
      </c>
      <c r="O4" t="n">
        <v>1</v>
      </c>
      <c r="P4" t="n">
        <v>1</v>
      </c>
      <c r="Q4" t="n">
        <v>1</v>
      </c>
      <c r="S4" t="n">
        <v>1</v>
      </c>
      <c r="V4" t="n">
        <v>1</v>
      </c>
      <c r="AF4" t="n">
        <v>3</v>
      </c>
      <c r="AG4" t="inlineStr">
        <is>
          <t>adelantado</t>
        </is>
      </c>
      <c r="AH4" t="inlineStr">
        <is>
          <t>adelantado</t>
        </is>
      </c>
    </row>
    <row r="5">
      <c r="A5" t="inlineStr">
        <is>
          <t>Ciclo de las rocas</t>
        </is>
      </c>
      <c r="B5" t="inlineStr">
        <is>
          <t>adelantado</t>
        </is>
      </c>
      <c r="C5" t="n">
        <v>3</v>
      </c>
      <c r="D5" t="n">
        <v>3</v>
      </c>
      <c r="E5" t="n">
        <v>4</v>
      </c>
      <c r="G5" t="n">
        <v>2</v>
      </c>
      <c r="H5" t="n">
        <v>4</v>
      </c>
      <c r="I5" t="n">
        <v>5</v>
      </c>
      <c r="J5" t="n">
        <v>7</v>
      </c>
      <c r="K5" t="n">
        <v>3</v>
      </c>
      <c r="N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AF5" t="n">
        <v>3</v>
      </c>
      <c r="AG5" t="inlineStr">
        <is>
          <t>adelantado</t>
        </is>
      </c>
      <c r="AH5" t="inlineStr">
        <is>
          <t>alineado</t>
        </is>
      </c>
    </row>
    <row r="6">
      <c r="A6" t="inlineStr">
        <is>
          <t>Ciclo del agua</t>
        </is>
      </c>
      <c r="B6" t="inlineStr">
        <is>
          <t>adelantado</t>
        </is>
      </c>
      <c r="C6" t="n">
        <v>2</v>
      </c>
      <c r="D6" t="n">
        <v>2</v>
      </c>
      <c r="E6" t="n">
        <v>3</v>
      </c>
      <c r="F6" t="n">
        <v>5</v>
      </c>
      <c r="G6" t="n">
        <v>2</v>
      </c>
      <c r="H6" t="n">
        <v>2</v>
      </c>
      <c r="I6" t="n">
        <v>3</v>
      </c>
      <c r="J6" t="n">
        <v>4.5</v>
      </c>
      <c r="K6" t="n">
        <v>7</v>
      </c>
      <c r="L6" t="n">
        <v>5</v>
      </c>
      <c r="M6" t="n">
        <v>4.5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Z6" t="n">
        <v>1</v>
      </c>
      <c r="AF6" t="n">
        <v>3</v>
      </c>
      <c r="AG6" t="inlineStr">
        <is>
          <t>adelantado</t>
        </is>
      </c>
      <c r="AH6" t="inlineStr">
        <is>
          <t>adelantado</t>
        </is>
      </c>
    </row>
    <row r="7">
      <c r="A7" t="inlineStr">
        <is>
          <t>Abastecimiento y conservación del agua dulce</t>
        </is>
      </c>
      <c r="B7" t="inlineStr">
        <is>
          <t>adelantado</t>
        </is>
      </c>
      <c r="C7" t="n">
        <v>3</v>
      </c>
      <c r="D7" t="n">
        <v>3</v>
      </c>
      <c r="F7" t="n">
        <v>5</v>
      </c>
      <c r="H7" t="n">
        <v>2</v>
      </c>
      <c r="J7" t="n">
        <v>7</v>
      </c>
      <c r="K7" t="n">
        <v>7</v>
      </c>
      <c r="L7" t="n">
        <v>5</v>
      </c>
      <c r="M7" t="n">
        <v>2.5</v>
      </c>
      <c r="O7" t="n">
        <v>1</v>
      </c>
      <c r="Q7" t="n">
        <v>1</v>
      </c>
      <c r="S7" t="n">
        <v>1</v>
      </c>
      <c r="T7" t="n">
        <v>1</v>
      </c>
      <c r="U7" t="n">
        <v>1</v>
      </c>
      <c r="V7" t="n">
        <v>1</v>
      </c>
      <c r="Z7" t="n">
        <v>1</v>
      </c>
      <c r="AF7" t="n">
        <v>7</v>
      </c>
      <c r="AG7" t="inlineStr">
        <is>
          <t>adelantado</t>
        </is>
      </c>
      <c r="AH7" t="inlineStr">
        <is>
          <t>alineado</t>
        </is>
      </c>
    </row>
    <row r="8">
      <c r="A8" t="inlineStr">
        <is>
          <t>Eclipses solares y lunares</t>
        </is>
      </c>
      <c r="B8" t="inlineStr">
        <is>
          <t>adelantado</t>
        </is>
      </c>
      <c r="C8" t="n">
        <v>4</v>
      </c>
      <c r="D8" t="n">
        <v>4</v>
      </c>
      <c r="E8" t="n">
        <v>6</v>
      </c>
      <c r="H8" t="n">
        <v>5</v>
      </c>
      <c r="J8" t="n">
        <v>7</v>
      </c>
      <c r="K8" t="n">
        <v>8</v>
      </c>
      <c r="M8" t="n">
        <v>7</v>
      </c>
      <c r="N8" t="n">
        <v>1</v>
      </c>
      <c r="Q8" t="n">
        <v>1</v>
      </c>
      <c r="S8" t="n">
        <v>1</v>
      </c>
      <c r="T8" t="n">
        <v>1</v>
      </c>
      <c r="V8" t="n">
        <v>1</v>
      </c>
      <c r="AF8" t="n">
        <v>4</v>
      </c>
      <c r="AG8" t="inlineStr">
        <is>
          <t>adelantado</t>
        </is>
      </c>
      <c r="AH8" t="inlineStr">
        <is>
          <t>adelantado</t>
        </is>
      </c>
    </row>
    <row r="9">
      <c r="A9" t="inlineStr">
        <is>
          <t>El Sol como estrella</t>
        </is>
      </c>
      <c r="B9" t="inlineStr">
        <is>
          <t>adelantado</t>
        </is>
      </c>
      <c r="C9" t="n">
        <v>2</v>
      </c>
      <c r="D9" t="n">
        <v>2</v>
      </c>
      <c r="G9" t="n">
        <v>6</v>
      </c>
      <c r="H9" t="n">
        <v>4</v>
      </c>
      <c r="I9" t="n">
        <v>5</v>
      </c>
      <c r="J9" t="n">
        <v>2.5</v>
      </c>
      <c r="K9" t="n">
        <v>5</v>
      </c>
      <c r="M9" t="n">
        <v>7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V9" t="n">
        <v>1</v>
      </c>
      <c r="AF9" t="n">
        <v>2</v>
      </c>
      <c r="AG9" t="inlineStr">
        <is>
          <t>adelantado</t>
        </is>
      </c>
      <c r="AH9" t="inlineStr">
        <is>
          <t>adelantado</t>
        </is>
      </c>
    </row>
    <row r="10">
      <c r="A10" t="inlineStr">
        <is>
          <t>Fósiles y su formación</t>
        </is>
      </c>
      <c r="B10" t="inlineStr">
        <is>
          <t>adelantado</t>
        </is>
      </c>
      <c r="C10" t="n">
        <v>3</v>
      </c>
      <c r="D10" t="n">
        <v>3</v>
      </c>
      <c r="F10" t="n">
        <v>8</v>
      </c>
      <c r="G10" t="n">
        <v>2</v>
      </c>
      <c r="H10" t="n">
        <v>4</v>
      </c>
      <c r="I10" t="n">
        <v>5</v>
      </c>
      <c r="J10" t="n">
        <v>4.5</v>
      </c>
      <c r="K10" t="n">
        <v>3</v>
      </c>
      <c r="M10" t="n">
        <v>4.5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V10" t="n">
        <v>1</v>
      </c>
      <c r="AF10" t="n">
        <v>3</v>
      </c>
      <c r="AG10" t="inlineStr">
        <is>
          <t>adelantado</t>
        </is>
      </c>
      <c r="AH10" t="inlineStr">
        <is>
          <t>adelantado</t>
        </is>
      </c>
    </row>
    <row r="11">
      <c r="A11" t="inlineStr">
        <is>
          <t>Fuentes de energía renovables y no renovables</t>
        </is>
      </c>
      <c r="B11" t="inlineStr">
        <is>
          <t>adelantado</t>
        </is>
      </c>
      <c r="C11" t="n">
        <v>2</v>
      </c>
      <c r="D11" t="n">
        <v>2</v>
      </c>
      <c r="F11" t="n">
        <v>5</v>
      </c>
      <c r="G11" t="n">
        <v>6</v>
      </c>
      <c r="H11" t="n">
        <v>3</v>
      </c>
      <c r="I11" t="n">
        <v>5</v>
      </c>
      <c r="J11" t="n">
        <v>4.5</v>
      </c>
      <c r="K11" t="n">
        <v>3</v>
      </c>
      <c r="L11" t="n">
        <v>4.5</v>
      </c>
      <c r="M11" t="n">
        <v>2.5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Z11" t="n">
        <v>1</v>
      </c>
      <c r="AF11" t="n">
        <v>2</v>
      </c>
      <c r="AG11" t="inlineStr">
        <is>
          <t>adelantado</t>
        </is>
      </c>
      <c r="AH11" t="inlineStr">
        <is>
          <t>adelantado</t>
        </is>
      </c>
    </row>
    <row r="12">
      <c r="A12" t="inlineStr">
        <is>
          <t>Galaxias y escala del universo</t>
        </is>
      </c>
      <c r="B12" t="inlineStr">
        <is>
          <t>adelantado</t>
        </is>
      </c>
      <c r="C12" t="n">
        <v>4</v>
      </c>
      <c r="D12" t="n">
        <v>4</v>
      </c>
      <c r="G12" t="n">
        <v>6</v>
      </c>
      <c r="H12" t="n">
        <v>4</v>
      </c>
      <c r="J12" t="n">
        <v>7</v>
      </c>
      <c r="K12" t="n">
        <v>8</v>
      </c>
      <c r="M12" t="n">
        <v>7</v>
      </c>
      <c r="P12" t="n">
        <v>1</v>
      </c>
      <c r="Q12" t="n">
        <v>1</v>
      </c>
      <c r="S12" t="n">
        <v>1</v>
      </c>
      <c r="T12" t="n">
        <v>1</v>
      </c>
      <c r="V12" t="n">
        <v>1</v>
      </c>
      <c r="AF12" t="n">
        <v>5</v>
      </c>
      <c r="AG12" t="inlineStr">
        <is>
          <t>adelantado</t>
        </is>
      </c>
      <c r="AH12" t="inlineStr">
        <is>
          <t>adelantado</t>
        </is>
      </c>
    </row>
    <row r="13">
      <c r="A13" t="inlineStr">
        <is>
          <t>Impacto de las actividades humanas en los recursos</t>
        </is>
      </c>
      <c r="B13" t="inlineStr">
        <is>
          <t>adelantado</t>
        </is>
      </c>
      <c r="C13" t="n">
        <v>2</v>
      </c>
      <c r="D13" t="n">
        <v>2</v>
      </c>
      <c r="F13" t="n">
        <v>5</v>
      </c>
      <c r="H13" t="n">
        <v>7</v>
      </c>
      <c r="I13" t="n">
        <v>8</v>
      </c>
      <c r="J13" t="n">
        <v>2.5</v>
      </c>
      <c r="K13" t="n">
        <v>2</v>
      </c>
      <c r="L13" t="n">
        <v>5</v>
      </c>
      <c r="M13" t="n">
        <v>2.5</v>
      </c>
      <c r="O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AF13" t="n">
        <v>2</v>
      </c>
      <c r="AG13" t="inlineStr">
        <is>
          <t>adelantado</t>
        </is>
      </c>
      <c r="AH13" t="inlineStr">
        <is>
          <t>adelantado</t>
        </is>
      </c>
    </row>
    <row r="14">
      <c r="A14" t="inlineStr">
        <is>
          <t>Límites de placas: convergentes, divergentes y transformantes</t>
        </is>
      </c>
      <c r="B14" t="inlineStr">
        <is>
          <t>adelantado</t>
        </is>
      </c>
      <c r="C14" t="n">
        <v>5</v>
      </c>
      <c r="D14" t="n">
        <v>5</v>
      </c>
      <c r="E14" t="n">
        <v>7</v>
      </c>
      <c r="F14" t="n">
        <v>8</v>
      </c>
      <c r="J14" t="n">
        <v>7</v>
      </c>
      <c r="M14" t="n">
        <v>7</v>
      </c>
      <c r="N14" t="n">
        <v>1</v>
      </c>
      <c r="O14" t="n">
        <v>1</v>
      </c>
      <c r="S14" t="n">
        <v>1</v>
      </c>
      <c r="V14" t="n">
        <v>1</v>
      </c>
      <c r="AF14" t="n">
        <v>5</v>
      </c>
      <c r="AG14" t="inlineStr">
        <is>
          <t>adelantado</t>
        </is>
      </c>
      <c r="AH14" t="inlineStr">
        <is>
          <t>adelantado</t>
        </is>
      </c>
    </row>
    <row r="15">
      <c r="A15" t="inlineStr">
        <is>
          <t>Origen del magma y vulcanismo</t>
        </is>
      </c>
      <c r="B15" t="inlineStr">
        <is>
          <t>adelantado</t>
        </is>
      </c>
      <c r="C15" t="n">
        <v>4</v>
      </c>
      <c r="D15" t="n">
        <v>4</v>
      </c>
      <c r="H15" t="n">
        <v>5</v>
      </c>
      <c r="I15" t="n">
        <v>6</v>
      </c>
      <c r="J15" t="n">
        <v>7</v>
      </c>
      <c r="M15" t="n">
        <v>7</v>
      </c>
      <c r="Q15" t="n">
        <v>1</v>
      </c>
      <c r="R15" t="n">
        <v>1</v>
      </c>
      <c r="S15" t="n">
        <v>1</v>
      </c>
      <c r="V15" t="n">
        <v>1</v>
      </c>
      <c r="AF15" t="n">
        <v>5</v>
      </c>
      <c r="AG15" t="inlineStr">
        <is>
          <t>adelantado</t>
        </is>
      </c>
      <c r="AH15" t="inlineStr">
        <is>
          <t>adelantado</t>
        </is>
      </c>
    </row>
    <row r="16">
      <c r="A16" t="inlineStr">
        <is>
          <t>Calidad y tratamiento del agua</t>
        </is>
      </c>
      <c r="B16" t="inlineStr">
        <is>
          <t>adelantado</t>
        </is>
      </c>
      <c r="C16" t="n">
        <v>3</v>
      </c>
      <c r="D16" t="n">
        <v>3</v>
      </c>
      <c r="F16" t="n">
        <v>5</v>
      </c>
      <c r="G16" t="n">
        <v>8.5</v>
      </c>
      <c r="H16" t="n">
        <v>2</v>
      </c>
      <c r="K16" t="n">
        <v>7</v>
      </c>
      <c r="L16" t="n">
        <v>5</v>
      </c>
      <c r="M16" t="n">
        <v>7</v>
      </c>
      <c r="O16" t="n">
        <v>1</v>
      </c>
      <c r="P16" t="n">
        <v>1</v>
      </c>
      <c r="Q16" t="n">
        <v>1</v>
      </c>
      <c r="T16" t="n">
        <v>1</v>
      </c>
      <c r="U16" t="n">
        <v>1</v>
      </c>
      <c r="V16" t="n">
        <v>1</v>
      </c>
      <c r="AF16" t="n">
        <v>3</v>
      </c>
      <c r="AG16" t="inlineStr">
        <is>
          <t>adelantado</t>
        </is>
      </c>
      <c r="AH16" t="inlineStr">
        <is>
          <t>adelantado</t>
        </is>
      </c>
    </row>
    <row r="17">
      <c r="A17" t="inlineStr">
        <is>
          <t>El océano: propiedades del agua de mar y zonas</t>
        </is>
      </c>
      <c r="B17" t="inlineStr">
        <is>
          <t>adelantado</t>
        </is>
      </c>
      <c r="C17" t="n">
        <v>3</v>
      </c>
      <c r="D17" t="n">
        <v>3</v>
      </c>
      <c r="F17" t="n">
        <v>5</v>
      </c>
      <c r="H17" t="n">
        <v>7</v>
      </c>
      <c r="J17" t="n">
        <v>2.5</v>
      </c>
      <c r="M17" t="n">
        <v>7</v>
      </c>
      <c r="O17" t="n">
        <v>1</v>
      </c>
      <c r="Q17" t="n">
        <v>1</v>
      </c>
      <c r="S17" t="n">
        <v>1</v>
      </c>
      <c r="V17" t="n">
        <v>1</v>
      </c>
      <c r="AF17" t="n">
        <v>3</v>
      </c>
      <c r="AG17" t="inlineStr">
        <is>
          <t>adelantado</t>
        </is>
      </c>
      <c r="AH17" t="inlineStr">
        <is>
          <t>adelantado</t>
        </is>
      </c>
    </row>
    <row r="18">
      <c r="A18" t="inlineStr">
        <is>
          <t>Registro fósil y cambios ambientales del pasado</t>
        </is>
      </c>
      <c r="B18" t="inlineStr">
        <is>
          <t>adelantado</t>
        </is>
      </c>
      <c r="C18" t="n">
        <v>3</v>
      </c>
      <c r="D18" t="n">
        <v>3</v>
      </c>
      <c r="H18" t="n">
        <v>4</v>
      </c>
      <c r="I18" t="n">
        <v>6</v>
      </c>
      <c r="J18" t="n">
        <v>4.5</v>
      </c>
      <c r="K18" t="n">
        <v>3</v>
      </c>
      <c r="M18" t="n">
        <v>4.5</v>
      </c>
      <c r="Q18" t="n">
        <v>1</v>
      </c>
      <c r="R18" t="n">
        <v>1</v>
      </c>
      <c r="S18" t="n">
        <v>1</v>
      </c>
      <c r="T18" t="n">
        <v>1</v>
      </c>
      <c r="V18" t="n">
        <v>1</v>
      </c>
      <c r="AF18" t="n">
        <v>3</v>
      </c>
      <c r="AG18" t="inlineStr">
        <is>
          <t>adelantado</t>
        </is>
      </c>
      <c r="AH18" t="inlineStr">
        <is>
          <t>adelantado</t>
        </is>
      </c>
    </row>
    <row r="19">
      <c r="A19" t="inlineStr">
        <is>
          <t>Riesgo de desastre: amenaza, vulnerabilidad y prevención</t>
        </is>
      </c>
      <c r="B19" t="inlineStr">
        <is>
          <t>adelantado</t>
        </is>
      </c>
      <c r="C19" t="n">
        <v>2</v>
      </c>
      <c r="D19" t="n">
        <v>2</v>
      </c>
      <c r="F19" t="n">
        <v>8</v>
      </c>
      <c r="H19" t="n">
        <v>5</v>
      </c>
      <c r="I19" t="n">
        <v>6</v>
      </c>
      <c r="J19" t="n">
        <v>2.5</v>
      </c>
      <c r="M19" t="n">
        <v>2.5</v>
      </c>
      <c r="O19" t="n">
        <v>1</v>
      </c>
      <c r="Q19" t="n">
        <v>1</v>
      </c>
      <c r="R19" t="n">
        <v>1</v>
      </c>
      <c r="S19" t="n">
        <v>1</v>
      </c>
      <c r="V19" t="n">
        <v>1</v>
      </c>
      <c r="Z19" t="n">
        <v>1</v>
      </c>
      <c r="AF19" t="n">
        <v>2</v>
      </c>
      <c r="AG19" t="inlineStr">
        <is>
          <t>adelantado</t>
        </is>
      </c>
      <c r="AH19" t="inlineStr">
        <is>
          <t>adelantado</t>
        </is>
      </c>
    </row>
    <row r="20">
      <c r="A20" t="inlineStr">
        <is>
          <t>Sismos y fallas geológicas</t>
        </is>
      </c>
      <c r="B20" t="inlineStr">
        <is>
          <t>adelantado</t>
        </is>
      </c>
      <c r="C20" t="n">
        <v>2</v>
      </c>
      <c r="D20" t="n">
        <v>2</v>
      </c>
      <c r="F20" t="n">
        <v>8</v>
      </c>
      <c r="H20" t="n">
        <v>5</v>
      </c>
      <c r="I20" t="n">
        <v>5</v>
      </c>
      <c r="J20" t="n">
        <v>2.5</v>
      </c>
      <c r="M20" t="n">
        <v>2.5</v>
      </c>
      <c r="O20" t="n">
        <v>1</v>
      </c>
      <c r="Q20" t="n">
        <v>1</v>
      </c>
      <c r="R20" t="n">
        <v>1</v>
      </c>
      <c r="S20" t="n">
        <v>1</v>
      </c>
      <c r="V20" t="n">
        <v>1</v>
      </c>
      <c r="AF20" t="n">
        <v>2</v>
      </c>
      <c r="AG20" t="inlineStr">
        <is>
          <t>adelantado</t>
        </is>
      </c>
      <c r="AH20" t="inlineStr">
        <is>
          <t>adelantado</t>
        </is>
      </c>
    </row>
    <row r="21">
      <c r="A21" t="inlineStr">
        <is>
          <t>Tectónica de placas</t>
        </is>
      </c>
      <c r="B21" t="inlineStr">
        <is>
          <t>adelantado</t>
        </is>
      </c>
      <c r="C21" t="n">
        <v>4</v>
      </c>
      <c r="D21" t="n">
        <v>4</v>
      </c>
      <c r="E21" t="n">
        <v>7</v>
      </c>
      <c r="F21" t="n">
        <v>8</v>
      </c>
      <c r="G21" t="n">
        <v>6</v>
      </c>
      <c r="H21" t="n">
        <v>4</v>
      </c>
      <c r="I21" t="n">
        <v>5</v>
      </c>
      <c r="J21" t="n">
        <v>7</v>
      </c>
      <c r="K21" t="n">
        <v>3</v>
      </c>
      <c r="M21" t="n">
        <v>2.5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V21" t="n">
        <v>1</v>
      </c>
      <c r="AF21" t="n">
        <v>4</v>
      </c>
      <c r="AG21" t="inlineStr">
        <is>
          <t>adelantado</t>
        </is>
      </c>
      <c r="AH21" t="inlineStr">
        <is>
          <t>adelantado</t>
        </is>
      </c>
    </row>
    <row r="22">
      <c r="A22" t="inlineStr">
        <is>
          <t>Traslación de la Tierra y el año</t>
        </is>
      </c>
      <c r="B22" t="inlineStr">
        <is>
          <t>adelantado</t>
        </is>
      </c>
      <c r="C22" t="n">
        <v>2</v>
      </c>
      <c r="D22" t="n">
        <v>2</v>
      </c>
      <c r="E22" t="n">
        <v>5</v>
      </c>
      <c r="G22" t="n">
        <v>3</v>
      </c>
      <c r="H22" t="n">
        <v>2</v>
      </c>
      <c r="I22" t="n">
        <v>8</v>
      </c>
      <c r="J22" t="n">
        <v>4.5</v>
      </c>
      <c r="K22" t="n">
        <v>5</v>
      </c>
      <c r="M22" t="n">
        <v>4.5</v>
      </c>
      <c r="N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V22" t="n">
        <v>1</v>
      </c>
      <c r="AF22" t="n">
        <v>2</v>
      </c>
      <c r="AG22" t="inlineStr">
        <is>
          <t>adelantado</t>
        </is>
      </c>
      <c r="AH22" t="inlineStr">
        <is>
          <t>adelantado</t>
        </is>
      </c>
    </row>
    <row r="23">
      <c r="A23" t="inlineStr">
        <is>
          <t>Volcanes: estructura, tipos y productos</t>
        </is>
      </c>
      <c r="B23" t="inlineStr">
        <is>
          <t>adelantado</t>
        </is>
      </c>
      <c r="C23" t="n">
        <v>3</v>
      </c>
      <c r="D23" t="n">
        <v>3</v>
      </c>
      <c r="F23" t="n">
        <v>8</v>
      </c>
      <c r="I23" t="n">
        <v>5</v>
      </c>
      <c r="J23" t="n">
        <v>2.5</v>
      </c>
      <c r="O23" t="n">
        <v>1</v>
      </c>
      <c r="R23" t="n">
        <v>1</v>
      </c>
      <c r="S23" t="n">
        <v>1</v>
      </c>
      <c r="AF23" t="n">
        <v>3</v>
      </c>
      <c r="AG23" t="inlineStr">
        <is>
          <t>adelantado</t>
        </is>
      </c>
      <c r="AH23" t="inlineStr">
        <is>
          <t>adelantado</t>
        </is>
      </c>
    </row>
    <row r="24">
      <c r="A24" t="inlineStr">
        <is>
          <t>Calentamiento global</t>
        </is>
      </c>
      <c r="B24" t="inlineStr">
        <is>
          <t>alineado</t>
        </is>
      </c>
      <c r="C24" t="n">
        <v>7</v>
      </c>
      <c r="D24" t="n">
        <v>7</v>
      </c>
      <c r="F24" t="n">
        <v>8</v>
      </c>
      <c r="G24" t="n">
        <v>6</v>
      </c>
      <c r="H24" t="n">
        <v>3</v>
      </c>
      <c r="J24" t="n">
        <v>2.5</v>
      </c>
      <c r="K24" t="n">
        <v>6</v>
      </c>
      <c r="L24" t="n">
        <v>7.5</v>
      </c>
      <c r="M24" t="n">
        <v>7</v>
      </c>
      <c r="O24" t="n">
        <v>1</v>
      </c>
      <c r="P24" t="n">
        <v>1</v>
      </c>
      <c r="Q24" t="n">
        <v>1</v>
      </c>
      <c r="S24" t="n">
        <v>1</v>
      </c>
      <c r="T24" t="n">
        <v>1</v>
      </c>
      <c r="U24" t="n">
        <v>1</v>
      </c>
      <c r="V24" t="n">
        <v>1</v>
      </c>
      <c r="AF24" t="n">
        <v>7</v>
      </c>
      <c r="AG24" t="inlineStr">
        <is>
          <t>alineado</t>
        </is>
      </c>
      <c r="AH24" t="inlineStr">
        <is>
          <t>alineado</t>
        </is>
      </c>
    </row>
    <row r="25">
      <c r="A25" t="inlineStr">
        <is>
          <t>Campo magnético terrestre</t>
        </is>
      </c>
      <c r="B25" t="inlineStr">
        <is>
          <t>alineado</t>
        </is>
      </c>
      <c r="C25" t="n">
        <v>5</v>
      </c>
      <c r="D25" t="n">
        <v>5</v>
      </c>
      <c r="E25" t="n">
        <v>3</v>
      </c>
      <c r="F25" t="n">
        <v>2.5</v>
      </c>
      <c r="G25" t="n">
        <v>2</v>
      </c>
      <c r="H25" t="n">
        <v>2</v>
      </c>
      <c r="I25" t="n">
        <v>2</v>
      </c>
      <c r="J25" t="n">
        <v>4.5</v>
      </c>
      <c r="L25" t="n">
        <v>3</v>
      </c>
      <c r="M25" t="n">
        <v>4.5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U25" t="n">
        <v>1</v>
      </c>
      <c r="V25" t="n">
        <v>1</v>
      </c>
      <c r="AF25" t="n">
        <v>5</v>
      </c>
      <c r="AG25" t="inlineStr">
        <is>
          <t>alineado</t>
        </is>
      </c>
      <c r="AH25" t="inlineStr">
        <is>
          <t>tardio</t>
        </is>
      </c>
    </row>
    <row r="26">
      <c r="A26" t="inlineStr">
        <is>
          <t>Cambio climático: causas y efectos</t>
        </is>
      </c>
      <c r="B26" t="inlineStr">
        <is>
          <t>alineado</t>
        </is>
      </c>
      <c r="C26" t="n">
        <v>7</v>
      </c>
      <c r="D26" t="n">
        <v>7</v>
      </c>
      <c r="F26" t="n">
        <v>8</v>
      </c>
      <c r="G26" t="n">
        <v>6</v>
      </c>
      <c r="H26" t="n">
        <v>3</v>
      </c>
      <c r="J26" t="n">
        <v>2.5</v>
      </c>
      <c r="K26" t="n">
        <v>4</v>
      </c>
      <c r="L26" t="n">
        <v>7.5</v>
      </c>
      <c r="M26" t="n">
        <v>4.5</v>
      </c>
      <c r="O26" t="n">
        <v>1</v>
      </c>
      <c r="P26" t="n">
        <v>1</v>
      </c>
      <c r="Q26" t="n">
        <v>1</v>
      </c>
      <c r="S26" t="n">
        <v>1</v>
      </c>
      <c r="T26" t="n">
        <v>1</v>
      </c>
      <c r="U26" t="n">
        <v>1</v>
      </c>
      <c r="V26" t="n">
        <v>1</v>
      </c>
      <c r="AF26" t="n">
        <v>7</v>
      </c>
      <c r="AG26" t="inlineStr">
        <is>
          <t>alineado</t>
        </is>
      </c>
      <c r="AH26" t="inlineStr">
        <is>
          <t>alineado</t>
        </is>
      </c>
    </row>
    <row r="27">
      <c r="A27" t="inlineStr">
        <is>
          <t>Ciclo del carbono en los sistemas terrestres</t>
        </is>
      </c>
      <c r="B27" t="inlineStr">
        <is>
          <t>alineado</t>
        </is>
      </c>
      <c r="C27" t="n">
        <v>3</v>
      </c>
      <c r="D27" t="n">
        <v>3</v>
      </c>
      <c r="E27" t="n">
        <v>8</v>
      </c>
      <c r="F27" t="n">
        <v>5</v>
      </c>
      <c r="G27" t="n">
        <v>6</v>
      </c>
      <c r="H27" t="n">
        <v>5</v>
      </c>
      <c r="J27" t="n">
        <v>4.5</v>
      </c>
      <c r="K27" t="n">
        <v>4</v>
      </c>
      <c r="L27" t="n">
        <v>7.5</v>
      </c>
      <c r="M27" t="n">
        <v>2.5</v>
      </c>
      <c r="N27" t="n">
        <v>1</v>
      </c>
      <c r="O27" t="n">
        <v>1</v>
      </c>
      <c r="P27" t="n">
        <v>1</v>
      </c>
      <c r="Q27" t="n">
        <v>1</v>
      </c>
      <c r="S27" t="n">
        <v>1</v>
      </c>
      <c r="T27" t="n">
        <v>1</v>
      </c>
      <c r="U27" t="n">
        <v>1</v>
      </c>
      <c r="V27" t="n">
        <v>1</v>
      </c>
      <c r="AF27" t="n">
        <v>6</v>
      </c>
      <c r="AG27" t="inlineStr">
        <is>
          <t>adelantado</t>
        </is>
      </c>
      <c r="AH27" t="inlineStr">
        <is>
          <t>alineado</t>
        </is>
      </c>
    </row>
    <row r="28">
      <c r="A28" t="inlineStr">
        <is>
          <t>Combustibles fósiles: formación y uso</t>
        </is>
      </c>
      <c r="B28" t="inlineStr">
        <is>
          <t>alineado</t>
        </is>
      </c>
      <c r="C28" t="n">
        <v>7</v>
      </c>
      <c r="D28" t="n">
        <v>7</v>
      </c>
      <c r="F28" t="n">
        <v>8</v>
      </c>
      <c r="G28" t="n">
        <v>6</v>
      </c>
      <c r="H28" t="n">
        <v>3</v>
      </c>
      <c r="K28" t="n">
        <v>4</v>
      </c>
      <c r="M28" t="n">
        <v>7</v>
      </c>
      <c r="O28" t="n">
        <v>1</v>
      </c>
      <c r="P28" t="n">
        <v>1</v>
      </c>
      <c r="Q28" t="n">
        <v>1</v>
      </c>
      <c r="T28" t="n">
        <v>1</v>
      </c>
      <c r="V28" t="n">
        <v>1</v>
      </c>
      <c r="Z28" t="n">
        <v>1</v>
      </c>
      <c r="AF28" t="n">
        <v>7</v>
      </c>
      <c r="AG28" t="inlineStr">
        <is>
          <t>alineado</t>
        </is>
      </c>
      <c r="AH28" t="inlineStr">
        <is>
          <t>alineado</t>
        </is>
      </c>
    </row>
    <row r="29">
      <c r="A29" t="inlineStr">
        <is>
          <t>La atmósfera y su composición</t>
        </is>
      </c>
      <c r="B29" t="inlineStr">
        <is>
          <t>alineado</t>
        </is>
      </c>
      <c r="C29" t="n">
        <v>3</v>
      </c>
      <c r="D29" t="n">
        <v>3</v>
      </c>
      <c r="G29" t="n">
        <v>6</v>
      </c>
      <c r="H29" t="n">
        <v>2</v>
      </c>
      <c r="J29" t="n">
        <v>2.5</v>
      </c>
      <c r="K29" t="n">
        <v>4</v>
      </c>
      <c r="M29" t="n">
        <v>4.5</v>
      </c>
      <c r="P29" t="n">
        <v>1</v>
      </c>
      <c r="Q29" t="n">
        <v>1</v>
      </c>
      <c r="S29" t="n">
        <v>1</v>
      </c>
      <c r="T29" t="n">
        <v>1</v>
      </c>
      <c r="V29" t="n">
        <v>1</v>
      </c>
      <c r="AF29" t="n">
        <v>3</v>
      </c>
      <c r="AG29" t="inlineStr">
        <is>
          <t>alineado</t>
        </is>
      </c>
      <c r="AH29" t="inlineStr">
        <is>
          <t>alineado</t>
        </is>
      </c>
    </row>
    <row r="30">
      <c r="A30" t="inlineStr">
        <is>
          <t>Conservación de recursos, residuos y sostenibilidad</t>
        </is>
      </c>
      <c r="B30" t="inlineStr">
        <is>
          <t>alineado</t>
        </is>
      </c>
      <c r="C30" t="n">
        <v>2</v>
      </c>
      <c r="D30" t="n">
        <v>2</v>
      </c>
      <c r="F30" t="n">
        <v>5</v>
      </c>
      <c r="G30" t="n">
        <v>6</v>
      </c>
      <c r="H30" t="n">
        <v>2</v>
      </c>
      <c r="I30" t="n">
        <v>8</v>
      </c>
      <c r="J30" t="n">
        <v>2.5</v>
      </c>
      <c r="K30" t="n">
        <v>2</v>
      </c>
      <c r="M30" t="n">
        <v>2.5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V30" t="n">
        <v>1</v>
      </c>
      <c r="AF30" t="n">
        <v>2</v>
      </c>
      <c r="AG30" t="inlineStr">
        <is>
          <t>alineado</t>
        </is>
      </c>
      <c r="AH30" t="inlineStr">
        <is>
          <t>alineado</t>
        </is>
      </c>
    </row>
    <row r="31">
      <c r="A31" t="inlineStr">
        <is>
          <t>Efecto invernadero</t>
        </is>
      </c>
      <c r="B31" t="inlineStr">
        <is>
          <t>alineado</t>
        </is>
      </c>
      <c r="C31" t="n">
        <v>7</v>
      </c>
      <c r="D31" t="n">
        <v>7</v>
      </c>
      <c r="G31" t="n">
        <v>6</v>
      </c>
      <c r="H31" t="n">
        <v>7</v>
      </c>
      <c r="J31" t="n">
        <v>7</v>
      </c>
      <c r="K31" t="n">
        <v>5</v>
      </c>
      <c r="L31" t="n">
        <v>7.5</v>
      </c>
      <c r="M31" t="n">
        <v>7</v>
      </c>
      <c r="P31" t="n">
        <v>1</v>
      </c>
      <c r="Q31" t="n">
        <v>1</v>
      </c>
      <c r="S31" t="n">
        <v>1</v>
      </c>
      <c r="T31" t="n">
        <v>1</v>
      </c>
      <c r="U31" t="n">
        <v>1</v>
      </c>
      <c r="V31" t="n">
        <v>1</v>
      </c>
      <c r="AF31" t="n">
        <v>7</v>
      </c>
      <c r="AG31" t="inlineStr">
        <is>
          <t>alineado</t>
        </is>
      </c>
      <c r="AH31" t="inlineStr">
        <is>
          <t>alineado</t>
        </is>
      </c>
    </row>
    <row r="32">
      <c r="A32" t="inlineStr">
        <is>
          <t>Erosión, transporte y sedimentación</t>
        </is>
      </c>
      <c r="B32" t="inlineStr">
        <is>
          <t>alineado</t>
        </is>
      </c>
      <c r="C32" t="n">
        <v>5</v>
      </c>
      <c r="D32" t="n">
        <v>5</v>
      </c>
      <c r="E32" t="n">
        <v>4</v>
      </c>
      <c r="F32" t="n">
        <v>8</v>
      </c>
      <c r="G32" t="n">
        <v>6</v>
      </c>
      <c r="H32" t="n">
        <v>4</v>
      </c>
      <c r="I32" t="n">
        <v>4</v>
      </c>
      <c r="J32" t="n">
        <v>2.5</v>
      </c>
      <c r="K32" t="n">
        <v>2</v>
      </c>
      <c r="M32" t="n">
        <v>2.5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V32" t="n">
        <v>1</v>
      </c>
      <c r="AF32" t="n">
        <v>5</v>
      </c>
      <c r="AG32" t="inlineStr">
        <is>
          <t>alineado</t>
        </is>
      </c>
      <c r="AH32" t="inlineStr">
        <is>
          <t>alineado</t>
        </is>
      </c>
    </row>
    <row r="33">
      <c r="A33" t="inlineStr">
        <is>
          <t>Estrellas y nebulosas</t>
        </is>
      </c>
      <c r="B33" t="inlineStr">
        <is>
          <t>alineado</t>
        </is>
      </c>
      <c r="C33" t="n">
        <v>4</v>
      </c>
      <c r="D33" t="n">
        <v>4</v>
      </c>
      <c r="G33" t="n">
        <v>6</v>
      </c>
      <c r="I33" t="n">
        <v>3</v>
      </c>
      <c r="J33" t="n">
        <v>2.5</v>
      </c>
      <c r="K33" t="n">
        <v>5</v>
      </c>
      <c r="M33" t="n">
        <v>7</v>
      </c>
      <c r="P33" t="n">
        <v>1</v>
      </c>
      <c r="R33" t="n">
        <v>1</v>
      </c>
      <c r="S33" t="n">
        <v>1</v>
      </c>
      <c r="T33" t="n">
        <v>1</v>
      </c>
      <c r="V33" t="n">
        <v>1</v>
      </c>
      <c r="AF33" t="n">
        <v>5</v>
      </c>
      <c r="AG33" t="inlineStr">
        <is>
          <t>alineado</t>
        </is>
      </c>
      <c r="AH33" t="inlineStr">
        <is>
          <t>alineado</t>
        </is>
      </c>
    </row>
    <row r="34">
      <c r="A34" t="inlineStr">
        <is>
          <t>Exploración espacial</t>
        </is>
      </c>
      <c r="B34" t="inlineStr">
        <is>
          <t>alineado</t>
        </is>
      </c>
      <c r="C34" t="n">
        <v>4</v>
      </c>
      <c r="D34" t="n">
        <v>4</v>
      </c>
      <c r="H34" t="n">
        <v>3</v>
      </c>
      <c r="I34" t="n">
        <v>4</v>
      </c>
      <c r="J34" t="n">
        <v>7</v>
      </c>
      <c r="K34" t="n">
        <v>5</v>
      </c>
      <c r="Q34" t="n">
        <v>1</v>
      </c>
      <c r="R34" t="n">
        <v>1</v>
      </c>
      <c r="S34" t="n">
        <v>1</v>
      </c>
      <c r="T34" t="n">
        <v>1</v>
      </c>
      <c r="AF34" t="n">
        <v>4</v>
      </c>
      <c r="AG34" t="inlineStr">
        <is>
          <t>alineado</t>
        </is>
      </c>
      <c r="AH34" t="inlineStr">
        <is>
          <t>alineado</t>
        </is>
      </c>
    </row>
    <row r="35">
      <c r="A35" t="inlineStr">
        <is>
          <t>Fases de la Luna</t>
        </is>
      </c>
      <c r="B35" t="inlineStr">
        <is>
          <t>alineado</t>
        </is>
      </c>
      <c r="C35" t="n">
        <v>4</v>
      </c>
      <c r="D35" t="n">
        <v>4</v>
      </c>
      <c r="E35" t="n">
        <v>2</v>
      </c>
      <c r="G35" t="n">
        <v>3</v>
      </c>
      <c r="H35" t="n">
        <v>2</v>
      </c>
      <c r="I35" t="n">
        <v>3</v>
      </c>
      <c r="J35" t="n">
        <v>2.5</v>
      </c>
      <c r="K35" t="n">
        <v>8</v>
      </c>
      <c r="M35" t="n">
        <v>2.5</v>
      </c>
      <c r="N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V35" t="n">
        <v>1</v>
      </c>
      <c r="AF35" t="n">
        <v>4</v>
      </c>
      <c r="AG35" t="inlineStr">
        <is>
          <t>alineado</t>
        </is>
      </c>
      <c r="AH35" t="inlineStr">
        <is>
          <t>alineado</t>
        </is>
      </c>
    </row>
    <row r="36">
      <c r="A36" t="inlineStr">
        <is>
          <t>Gravedad y órbitas</t>
        </is>
      </c>
      <c r="B36" t="inlineStr">
        <is>
          <t>alineado</t>
        </is>
      </c>
      <c r="C36" t="n">
        <v>3</v>
      </c>
      <c r="D36" t="n">
        <v>3</v>
      </c>
      <c r="G36" t="n">
        <v>3</v>
      </c>
      <c r="H36" t="n">
        <v>2</v>
      </c>
      <c r="I36" t="n">
        <v>8</v>
      </c>
      <c r="J36" t="n">
        <v>7</v>
      </c>
      <c r="M36" t="n">
        <v>4.5</v>
      </c>
      <c r="P36" t="n">
        <v>1</v>
      </c>
      <c r="Q36" t="n">
        <v>1</v>
      </c>
      <c r="R36" t="n">
        <v>1</v>
      </c>
      <c r="S36" t="n">
        <v>1</v>
      </c>
      <c r="V36" t="n">
        <v>1</v>
      </c>
      <c r="AF36" t="n">
        <v>8</v>
      </c>
      <c r="AG36" t="inlineStr">
        <is>
          <t>alineado</t>
        </is>
      </c>
      <c r="AH36" t="inlineStr">
        <is>
          <t>alineado</t>
        </is>
      </c>
    </row>
    <row r="37">
      <c r="A37" t="inlineStr">
        <is>
          <t>Hidrosfera: distribución del agua dulce y salada</t>
        </is>
      </c>
      <c r="B37" t="inlineStr">
        <is>
          <t>alineado</t>
        </is>
      </c>
      <c r="C37" t="n">
        <v>3</v>
      </c>
      <c r="D37" t="n">
        <v>3</v>
      </c>
      <c r="E37" t="n">
        <v>3</v>
      </c>
      <c r="F37" t="n">
        <v>5</v>
      </c>
      <c r="H37" t="n">
        <v>2</v>
      </c>
      <c r="J37" t="n">
        <v>2.5</v>
      </c>
      <c r="K37" t="n">
        <v>7</v>
      </c>
      <c r="M37" t="n">
        <v>4.5</v>
      </c>
      <c r="N37" t="n">
        <v>1</v>
      </c>
      <c r="O37" t="n">
        <v>1</v>
      </c>
      <c r="Q37" t="n">
        <v>1</v>
      </c>
      <c r="S37" t="n">
        <v>1</v>
      </c>
      <c r="T37" t="n">
        <v>1</v>
      </c>
      <c r="V37" t="n">
        <v>1</v>
      </c>
      <c r="AF37" t="n">
        <v>3</v>
      </c>
      <c r="AG37" t="inlineStr">
        <is>
          <t>adelantado</t>
        </is>
      </c>
      <c r="AH37" t="inlineStr">
        <is>
          <t>alineado</t>
        </is>
      </c>
    </row>
    <row r="38">
      <c r="A38" t="inlineStr">
        <is>
          <t>Inclinación del eje terrestre y estaciones astronómicas</t>
        </is>
      </c>
      <c r="B38" t="inlineStr">
        <is>
          <t>alineado</t>
        </is>
      </c>
      <c r="C38" t="n">
        <v>2</v>
      </c>
      <c r="D38" t="n">
        <v>2</v>
      </c>
      <c r="E38" t="n">
        <v>5</v>
      </c>
      <c r="F38" t="n">
        <v>2.5</v>
      </c>
      <c r="G38" t="n">
        <v>2</v>
      </c>
      <c r="H38" t="n">
        <v>2</v>
      </c>
      <c r="I38" t="n">
        <v>8</v>
      </c>
      <c r="J38" t="n">
        <v>4.5</v>
      </c>
      <c r="K38" t="n">
        <v>8</v>
      </c>
      <c r="M38" t="n">
        <v>2.5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V38" t="n">
        <v>1</v>
      </c>
      <c r="AF38" t="n">
        <v>4</v>
      </c>
      <c r="AG38" t="inlineStr">
        <is>
          <t>adelantado</t>
        </is>
      </c>
      <c r="AH38" t="inlineStr">
        <is>
          <t>alineado</t>
        </is>
      </c>
    </row>
    <row r="39">
      <c r="A39" t="inlineStr">
        <is>
          <t>Interacción océano-atmósfera</t>
        </is>
      </c>
      <c r="B39" t="inlineStr">
        <is>
          <t>alineado</t>
        </is>
      </c>
      <c r="C39" t="n">
        <v>7</v>
      </c>
      <c r="D39" t="n">
        <v>7</v>
      </c>
      <c r="F39" t="n">
        <v>5</v>
      </c>
      <c r="I39" t="n">
        <v>7</v>
      </c>
      <c r="J39" t="n">
        <v>7</v>
      </c>
      <c r="K39" t="n">
        <v>7</v>
      </c>
      <c r="M39" t="n">
        <v>4.5</v>
      </c>
      <c r="O39" t="n">
        <v>1</v>
      </c>
      <c r="R39" t="n">
        <v>1</v>
      </c>
      <c r="S39" t="n">
        <v>1</v>
      </c>
      <c r="T39" t="n">
        <v>1</v>
      </c>
      <c r="V39" t="n">
        <v>1</v>
      </c>
      <c r="AF39" t="n">
        <v>8</v>
      </c>
      <c r="AG39" t="inlineStr">
        <is>
          <t>alineado</t>
        </is>
      </c>
      <c r="AH39" t="inlineStr">
        <is>
          <t>alineado</t>
        </is>
      </c>
    </row>
    <row r="40">
      <c r="A40" t="inlineStr">
        <is>
          <t>La Luna: características y origen</t>
        </is>
      </c>
      <c r="B40" t="inlineStr">
        <is>
          <t>alineado</t>
        </is>
      </c>
      <c r="C40" t="n">
        <v>4</v>
      </c>
      <c r="D40" t="n">
        <v>4</v>
      </c>
      <c r="G40" t="n">
        <v>3</v>
      </c>
      <c r="H40" t="n">
        <v>2</v>
      </c>
      <c r="I40" t="n">
        <v>5</v>
      </c>
      <c r="J40" t="n">
        <v>2.5</v>
      </c>
      <c r="M40" t="n">
        <v>7</v>
      </c>
      <c r="P40" t="n">
        <v>1</v>
      </c>
      <c r="Q40" t="n">
        <v>1</v>
      </c>
      <c r="R40" t="n">
        <v>1</v>
      </c>
      <c r="S40" t="n">
        <v>1</v>
      </c>
      <c r="V40" t="n">
        <v>1</v>
      </c>
      <c r="AF40" t="n">
        <v>4</v>
      </c>
      <c r="AG40" t="inlineStr">
        <is>
          <t>alineado</t>
        </is>
      </c>
      <c r="AH40" t="inlineStr">
        <is>
          <t>alineado</t>
        </is>
      </c>
    </row>
    <row r="41">
      <c r="A41" t="inlineStr">
        <is>
          <t>Meteorización</t>
        </is>
      </c>
      <c r="B41" t="inlineStr">
        <is>
          <t>alineado</t>
        </is>
      </c>
      <c r="C41" t="n">
        <v>5</v>
      </c>
      <c r="D41" t="n">
        <v>5</v>
      </c>
      <c r="E41" t="n">
        <v>4</v>
      </c>
      <c r="F41" t="n">
        <v>5</v>
      </c>
      <c r="G41" t="n">
        <v>2</v>
      </c>
      <c r="I41" t="n">
        <v>4</v>
      </c>
      <c r="J41" t="n">
        <v>7</v>
      </c>
      <c r="K41" t="n">
        <v>3</v>
      </c>
      <c r="M41" t="n">
        <v>2.5</v>
      </c>
      <c r="N41" t="n">
        <v>1</v>
      </c>
      <c r="O41" t="n">
        <v>1</v>
      </c>
      <c r="P41" t="n">
        <v>1</v>
      </c>
      <c r="R41" t="n">
        <v>1</v>
      </c>
      <c r="S41" t="n">
        <v>1</v>
      </c>
      <c r="T41" t="n">
        <v>1</v>
      </c>
      <c r="V41" t="n">
        <v>1</v>
      </c>
      <c r="AF41" t="n">
        <v>5</v>
      </c>
      <c r="AG41" t="inlineStr">
        <is>
          <t>alineado</t>
        </is>
      </c>
      <c r="AH41" t="inlineStr">
        <is>
          <t>alineado</t>
        </is>
      </c>
    </row>
    <row r="42">
      <c r="A42" t="inlineStr">
        <is>
          <t>Minerales y sus propiedades</t>
        </is>
      </c>
      <c r="B42" t="inlineStr">
        <is>
          <t>alineado</t>
        </is>
      </c>
      <c r="C42" t="n">
        <v>5</v>
      </c>
      <c r="D42" t="n">
        <v>5</v>
      </c>
      <c r="E42" t="n">
        <v>2</v>
      </c>
      <c r="G42" t="n">
        <v>2</v>
      </c>
      <c r="H42" t="n">
        <v>7</v>
      </c>
      <c r="J42" t="n">
        <v>7</v>
      </c>
      <c r="K42" t="n">
        <v>3</v>
      </c>
      <c r="M42" t="n">
        <v>4.5</v>
      </c>
      <c r="N42" t="n">
        <v>1</v>
      </c>
      <c r="P42" t="n">
        <v>1</v>
      </c>
      <c r="Q42" t="n">
        <v>1</v>
      </c>
      <c r="S42" t="n">
        <v>1</v>
      </c>
      <c r="T42" t="n">
        <v>1</v>
      </c>
      <c r="V42" t="n">
        <v>1</v>
      </c>
      <c r="AF42" t="n">
        <v>8</v>
      </c>
      <c r="AG42" t="inlineStr">
        <is>
          <t>alineado</t>
        </is>
      </c>
      <c r="AH42" t="inlineStr">
        <is>
          <t>alineado</t>
        </is>
      </c>
    </row>
    <row r="43">
      <c r="A43" t="inlineStr">
        <is>
          <t>Formación de nubes y precipitación</t>
        </is>
      </c>
      <c r="B43" t="inlineStr">
        <is>
          <t>alineado</t>
        </is>
      </c>
      <c r="C43" t="n">
        <v>4</v>
      </c>
      <c r="D43" t="n">
        <v>4</v>
      </c>
      <c r="E43" t="n">
        <v>3</v>
      </c>
      <c r="F43" t="n">
        <v>5</v>
      </c>
      <c r="H43" t="n">
        <v>2</v>
      </c>
      <c r="I43" t="n">
        <v>4</v>
      </c>
      <c r="J43" t="n">
        <v>4.5</v>
      </c>
      <c r="M43" t="n">
        <v>2.5</v>
      </c>
      <c r="N43" t="n">
        <v>1</v>
      </c>
      <c r="O43" t="n">
        <v>1</v>
      </c>
      <c r="Q43" t="n">
        <v>1</v>
      </c>
      <c r="R43" t="n">
        <v>1</v>
      </c>
      <c r="S43" t="n">
        <v>1</v>
      </c>
      <c r="V43" t="n">
        <v>1</v>
      </c>
      <c r="Z43" t="n">
        <v>1</v>
      </c>
      <c r="AF43" t="n">
        <v>4</v>
      </c>
      <c r="AG43" t="inlineStr">
        <is>
          <t>alineado</t>
        </is>
      </c>
      <c r="AH43" t="inlineStr">
        <is>
          <t>alineado</t>
        </is>
      </c>
    </row>
    <row r="44">
      <c r="A44" t="inlineStr">
        <is>
          <t>Patrones estacionales: época seca y lluviosa</t>
        </is>
      </c>
      <c r="B44" t="inlineStr">
        <is>
          <t>alineado</t>
        </is>
      </c>
      <c r="C44" t="n">
        <v>2</v>
      </c>
      <c r="D44" t="n">
        <v>2</v>
      </c>
      <c r="E44" t="n">
        <v>2</v>
      </c>
      <c r="F44" t="n">
        <v>2.5</v>
      </c>
      <c r="G44" t="n">
        <v>2</v>
      </c>
      <c r="H44" t="n">
        <v>2</v>
      </c>
      <c r="I44" t="n">
        <v>3</v>
      </c>
      <c r="J44" t="n">
        <v>4.5</v>
      </c>
      <c r="M44" t="n">
        <v>2.5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V44" t="n">
        <v>1</v>
      </c>
      <c r="AF44" t="n">
        <v>2</v>
      </c>
      <c r="AG44" t="inlineStr">
        <is>
          <t>alineado</t>
        </is>
      </c>
      <c r="AH44" t="inlineStr">
        <is>
          <t>alineado</t>
        </is>
      </c>
    </row>
    <row r="45">
      <c r="A45" t="inlineStr">
        <is>
          <t>Planetas: tipos y comparación</t>
        </is>
      </c>
      <c r="B45" t="inlineStr">
        <is>
          <t>alineado</t>
        </is>
      </c>
      <c r="C45" t="n">
        <v>4</v>
      </c>
      <c r="D45" t="n">
        <v>4</v>
      </c>
      <c r="H45" t="n">
        <v>4</v>
      </c>
      <c r="I45" t="n">
        <v>8</v>
      </c>
      <c r="J45" t="n">
        <v>2.5</v>
      </c>
      <c r="K45" t="n">
        <v>5</v>
      </c>
      <c r="M45" t="n">
        <v>4.5</v>
      </c>
      <c r="Q45" t="n">
        <v>1</v>
      </c>
      <c r="R45" t="n">
        <v>1</v>
      </c>
      <c r="S45" t="n">
        <v>1</v>
      </c>
      <c r="T45" t="n">
        <v>1</v>
      </c>
      <c r="V45" t="n">
        <v>1</v>
      </c>
      <c r="AF45" t="n">
        <v>4</v>
      </c>
      <c r="AG45" t="inlineStr">
        <is>
          <t>adelantado</t>
        </is>
      </c>
      <c r="AH45" t="inlineStr">
        <is>
          <t>alineado</t>
        </is>
      </c>
    </row>
    <row r="46">
      <c r="A46" t="inlineStr">
        <is>
          <t>Calentamiento desigual de la Tierra y circulación atmosférica</t>
        </is>
      </c>
      <c r="B46" t="inlineStr">
        <is>
          <t>alineado</t>
        </is>
      </c>
      <c r="C46" t="n">
        <v>8</v>
      </c>
      <c r="D46" t="n">
        <v>8</v>
      </c>
      <c r="F46" t="n">
        <v>8</v>
      </c>
      <c r="G46" t="n">
        <v>8.5</v>
      </c>
      <c r="H46" t="n">
        <v>4</v>
      </c>
      <c r="I46" t="n">
        <v>7</v>
      </c>
      <c r="J46" t="n">
        <v>4.5</v>
      </c>
      <c r="K46" t="n">
        <v>6</v>
      </c>
      <c r="M46" t="n">
        <v>2.5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V46" t="n">
        <v>1</v>
      </c>
      <c r="Z46" t="n">
        <v>1</v>
      </c>
      <c r="AF46" t="n">
        <v>8</v>
      </c>
      <c r="AG46" t="inlineStr">
        <is>
          <t>alineado</t>
        </is>
      </c>
      <c r="AH46" t="inlineStr">
        <is>
          <t>alineado</t>
        </is>
      </c>
    </row>
    <row r="47">
      <c r="A47" t="inlineStr">
        <is>
          <t>Recursos minerales y minería</t>
        </is>
      </c>
      <c r="B47" t="inlineStr">
        <is>
          <t>alineado</t>
        </is>
      </c>
      <c r="C47" t="n">
        <v>3</v>
      </c>
      <c r="D47" t="n">
        <v>3</v>
      </c>
      <c r="F47" t="n">
        <v>5</v>
      </c>
      <c r="H47" t="n">
        <v>7</v>
      </c>
      <c r="J47" t="n">
        <v>7</v>
      </c>
      <c r="K47" t="n">
        <v>3</v>
      </c>
      <c r="M47" t="n">
        <v>4.5</v>
      </c>
      <c r="O47" t="n">
        <v>1</v>
      </c>
      <c r="Q47" t="n">
        <v>1</v>
      </c>
      <c r="S47" t="n">
        <v>1</v>
      </c>
      <c r="T47" t="n">
        <v>1</v>
      </c>
      <c r="V47" t="n">
        <v>1</v>
      </c>
      <c r="AF47" t="n">
        <v>8</v>
      </c>
      <c r="AG47" t="inlineStr">
        <is>
          <t>adelantado</t>
        </is>
      </c>
      <c r="AH47" t="inlineStr">
        <is>
          <t>alineado</t>
        </is>
      </c>
    </row>
    <row r="48">
      <c r="A48" t="inlineStr">
        <is>
          <t>Rotación de la Tierra: día, noche y sombras</t>
        </is>
      </c>
      <c r="B48" t="inlineStr">
        <is>
          <t>alineado</t>
        </is>
      </c>
      <c r="C48" t="n">
        <v>2</v>
      </c>
      <c r="D48" t="n">
        <v>2</v>
      </c>
      <c r="E48" t="n">
        <v>2</v>
      </c>
      <c r="G48" t="n">
        <v>3</v>
      </c>
      <c r="H48" t="n">
        <v>2</v>
      </c>
      <c r="I48" t="n">
        <v>2</v>
      </c>
      <c r="J48" t="n">
        <v>4.5</v>
      </c>
      <c r="K48" t="n">
        <v>5</v>
      </c>
      <c r="M48" t="n">
        <v>2.5</v>
      </c>
      <c r="N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V48" t="n">
        <v>1</v>
      </c>
      <c r="AF48" t="n">
        <v>2</v>
      </c>
      <c r="AG48" t="inlineStr">
        <is>
          <t>alineado</t>
        </is>
      </c>
      <c r="AH48" t="inlineStr">
        <is>
          <t>alineado</t>
        </is>
      </c>
    </row>
    <row r="49">
      <c r="A49" t="inlineStr">
        <is>
          <t>El sistema solar y el modelo heliocéntrico</t>
        </is>
      </c>
      <c r="B49" t="inlineStr">
        <is>
          <t>alineado</t>
        </is>
      </c>
      <c r="C49" t="n">
        <v>4</v>
      </c>
      <c r="D49" t="n">
        <v>4</v>
      </c>
      <c r="E49" t="n">
        <v>2</v>
      </c>
      <c r="F49" t="n">
        <v>5</v>
      </c>
      <c r="G49" t="n">
        <v>3</v>
      </c>
      <c r="H49" t="n">
        <v>2</v>
      </c>
      <c r="I49" t="n">
        <v>8</v>
      </c>
      <c r="J49" t="n">
        <v>2.5</v>
      </c>
      <c r="K49" t="n">
        <v>5</v>
      </c>
      <c r="M49" t="n">
        <v>4.5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V49" t="n">
        <v>1</v>
      </c>
      <c r="AF49" t="n">
        <v>4</v>
      </c>
      <c r="AG49" t="inlineStr">
        <is>
          <t>alineado</t>
        </is>
      </c>
      <c r="AH49" t="inlineStr">
        <is>
          <t>alineado</t>
        </is>
      </c>
    </row>
    <row r="50">
      <c r="A50" t="inlineStr">
        <is>
          <t>Sistemas terrestres y sus interacciones</t>
        </is>
      </c>
      <c r="B50" t="inlineStr">
        <is>
          <t>alineado</t>
        </is>
      </c>
      <c r="C50" t="n">
        <v>3</v>
      </c>
      <c r="D50" t="n">
        <v>3</v>
      </c>
      <c r="E50" t="n">
        <v>8</v>
      </c>
      <c r="F50" t="n">
        <v>8</v>
      </c>
      <c r="G50" t="n">
        <v>6</v>
      </c>
      <c r="H50" t="n">
        <v>2</v>
      </c>
      <c r="I50" t="n">
        <v>8</v>
      </c>
      <c r="J50" t="n">
        <v>2.5</v>
      </c>
      <c r="K50" t="n">
        <v>2</v>
      </c>
      <c r="M50" t="n">
        <v>3.5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V50" t="n">
        <v>1</v>
      </c>
      <c r="AF50" t="n">
        <v>8</v>
      </c>
      <c r="AG50" t="inlineStr">
        <is>
          <t>adelantado</t>
        </is>
      </c>
      <c r="AH50" t="inlineStr">
        <is>
          <t>tardio</t>
        </is>
      </c>
    </row>
    <row r="51">
      <c r="A51" t="inlineStr">
        <is>
          <t>Tiempo atmosférico y sus variables</t>
        </is>
      </c>
      <c r="B51" t="inlineStr">
        <is>
          <t>alineado</t>
        </is>
      </c>
      <c r="C51" t="n">
        <v>2</v>
      </c>
      <c r="D51" t="n">
        <v>2</v>
      </c>
      <c r="F51" t="n">
        <v>2.5</v>
      </c>
      <c r="G51" t="n">
        <v>2</v>
      </c>
      <c r="H51" t="n">
        <v>2</v>
      </c>
      <c r="I51" t="n">
        <v>2</v>
      </c>
      <c r="J51" t="n">
        <v>4.5</v>
      </c>
      <c r="K51" t="n">
        <v>7</v>
      </c>
      <c r="M51" t="n">
        <v>2.5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V51" t="n">
        <v>1</v>
      </c>
      <c r="AF51" t="n">
        <v>2</v>
      </c>
      <c r="AG51" t="inlineStr">
        <is>
          <t>alineado</t>
        </is>
      </c>
      <c r="AH51" t="inlineStr">
        <is>
          <t>alineado</t>
        </is>
      </c>
    </row>
    <row r="52">
      <c r="A52" t="inlineStr">
        <is>
          <t>Tipos de rocas: ígneas, sedimentarias y metamórficas</t>
        </is>
      </c>
      <c r="B52" t="inlineStr">
        <is>
          <t>alineado</t>
        </is>
      </c>
      <c r="C52" t="n">
        <v>3</v>
      </c>
      <c r="D52" t="n">
        <v>3</v>
      </c>
      <c r="E52" t="n">
        <v>2</v>
      </c>
      <c r="F52" t="n">
        <v>8</v>
      </c>
      <c r="G52" t="n">
        <v>2</v>
      </c>
      <c r="H52" t="n">
        <v>3</v>
      </c>
      <c r="I52" t="n">
        <v>5</v>
      </c>
      <c r="J52" t="n">
        <v>2.5</v>
      </c>
      <c r="K52" t="n">
        <v>3</v>
      </c>
      <c r="M52" t="n">
        <v>2.5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V52" t="n">
        <v>1</v>
      </c>
      <c r="AF52" t="n">
        <v>3</v>
      </c>
      <c r="AG52" t="inlineStr">
        <is>
          <t>alineado</t>
        </is>
      </c>
      <c r="AH52" t="inlineStr">
        <is>
          <t>alineado</t>
        </is>
      </c>
    </row>
    <row r="53">
      <c r="A53" t="inlineStr">
        <is>
          <t>Uso del suelo y su degradación</t>
        </is>
      </c>
      <c r="B53" t="inlineStr">
        <is>
          <t>alineado</t>
        </is>
      </c>
      <c r="C53" t="n">
        <v>4</v>
      </c>
      <c r="D53" t="n">
        <v>4</v>
      </c>
      <c r="F53" t="n">
        <v>5</v>
      </c>
      <c r="K53" t="n">
        <v>2</v>
      </c>
      <c r="M53" t="n">
        <v>4.5</v>
      </c>
      <c r="O53" t="n">
        <v>1</v>
      </c>
      <c r="T53" t="n">
        <v>1</v>
      </c>
      <c r="V53" t="n">
        <v>1</v>
      </c>
      <c r="AF53" t="n">
        <v>4</v>
      </c>
      <c r="AG53" t="inlineStr">
        <is>
          <t>sin_referente</t>
        </is>
      </c>
      <c r="AH53" t="inlineStr">
        <is>
          <t>alineado</t>
        </is>
      </c>
    </row>
    <row r="54">
      <c r="A54" t="inlineStr">
        <is>
          <t>Cuencas hidrográficas y aguas superficiales</t>
        </is>
      </c>
      <c r="B54" t="inlineStr">
        <is>
          <t>incierto</t>
        </is>
      </c>
      <c r="C54" t="n">
        <v>2</v>
      </c>
      <c r="D54" t="n">
        <v>2</v>
      </c>
      <c r="F54" t="n">
        <v>2.5</v>
      </c>
      <c r="H54" t="n">
        <v>7</v>
      </c>
      <c r="I54" t="n">
        <v>3</v>
      </c>
      <c r="J54" t="n">
        <v>2.5</v>
      </c>
      <c r="K54" t="n">
        <v>7</v>
      </c>
      <c r="M54" t="n">
        <v>4.5</v>
      </c>
      <c r="O54" t="n">
        <v>1</v>
      </c>
      <c r="Q54" t="n">
        <v>1</v>
      </c>
      <c r="R54" t="n">
        <v>1</v>
      </c>
      <c r="S54" t="n">
        <v>1</v>
      </c>
      <c r="T54" t="n">
        <v>1</v>
      </c>
      <c r="V54" t="n">
        <v>1</v>
      </c>
      <c r="AF54" t="n">
        <v>3</v>
      </c>
      <c r="AG54" t="inlineStr">
        <is>
          <t>adelantado</t>
        </is>
      </c>
      <c r="AH54" t="inlineStr">
        <is>
          <t>alineado</t>
        </is>
      </c>
    </row>
    <row r="55">
      <c r="A55" t="inlineStr">
        <is>
          <t>Grandes cambios globales: glaciaciones e impactos de asteroides</t>
        </is>
      </c>
      <c r="B55" t="inlineStr">
        <is>
          <t>incierto</t>
        </is>
      </c>
      <c r="C55" t="n">
        <v>3</v>
      </c>
      <c r="D55" t="n">
        <v>3</v>
      </c>
      <c r="AG55" t="inlineStr">
        <is>
          <t>sin_referente</t>
        </is>
      </c>
      <c r="AH55" t="inlineStr">
        <is>
          <t>no_aplica</t>
        </is>
      </c>
    </row>
    <row r="56">
      <c r="A56" t="inlineStr">
        <is>
          <t>Mareas</t>
        </is>
      </c>
      <c r="B56" t="inlineStr">
        <is>
          <t>incierto</t>
        </is>
      </c>
      <c r="C56" t="n">
        <v>4</v>
      </c>
      <c r="D56" t="n">
        <v>4</v>
      </c>
      <c r="E56" t="n">
        <v>6</v>
      </c>
      <c r="H56" t="n">
        <v>5</v>
      </c>
      <c r="J56" t="n">
        <v>2.5</v>
      </c>
      <c r="M56" t="n">
        <v>7</v>
      </c>
      <c r="N56" t="n">
        <v>1</v>
      </c>
      <c r="Q56" t="n">
        <v>1</v>
      </c>
      <c r="S56" t="n">
        <v>1</v>
      </c>
      <c r="V56" t="n">
        <v>1</v>
      </c>
      <c r="AF56" t="n">
        <v>4</v>
      </c>
      <c r="AG56" t="inlineStr">
        <is>
          <t>alineado</t>
        </is>
      </c>
      <c r="AH56" t="inlineStr">
        <is>
          <t>adelantado</t>
        </is>
      </c>
    </row>
    <row r="57">
      <c r="A57" t="inlineStr">
        <is>
          <t>Tiempo geológico y datación</t>
        </is>
      </c>
      <c r="B57" t="inlineStr">
        <is>
          <t>incierto</t>
        </is>
      </c>
      <c r="C57" t="n">
        <v>5</v>
      </c>
      <c r="D57" t="n">
        <v>5</v>
      </c>
      <c r="E57" t="n">
        <v>7</v>
      </c>
      <c r="H57" t="n">
        <v>4</v>
      </c>
      <c r="I57" t="n">
        <v>6</v>
      </c>
      <c r="K57" t="n">
        <v>3</v>
      </c>
      <c r="M57" t="n">
        <v>7</v>
      </c>
      <c r="N57" t="n">
        <v>1</v>
      </c>
      <c r="Q57" t="n">
        <v>1</v>
      </c>
      <c r="R57" t="n">
        <v>1</v>
      </c>
      <c r="T57" t="n">
        <v>1</v>
      </c>
      <c r="V57" t="n">
        <v>1</v>
      </c>
      <c r="AF57" t="n">
        <v>5</v>
      </c>
      <c r="AG57" t="inlineStr">
        <is>
          <t>sin_referente</t>
        </is>
      </c>
      <c r="AH57" t="inlineStr">
        <is>
          <t>alineado</t>
        </is>
      </c>
    </row>
    <row r="58">
      <c r="A58" t="inlineStr">
        <is>
          <t>Clima: diferencia con el tiempo, tipos y factores</t>
        </is>
      </c>
      <c r="B58" t="inlineStr">
        <is>
          <t>incierto</t>
        </is>
      </c>
      <c r="C58" t="n">
        <v>4</v>
      </c>
      <c r="D58" t="n">
        <v>4</v>
      </c>
      <c r="F58" t="n">
        <v>2.5</v>
      </c>
      <c r="H58" t="n">
        <v>2</v>
      </c>
      <c r="I58" t="n">
        <v>7</v>
      </c>
      <c r="J58" t="n">
        <v>7</v>
      </c>
      <c r="M58" t="n">
        <v>7</v>
      </c>
      <c r="O58" t="n">
        <v>1</v>
      </c>
      <c r="Q58" t="n">
        <v>1</v>
      </c>
      <c r="R58" t="n">
        <v>1</v>
      </c>
      <c r="S58" t="n">
        <v>1</v>
      </c>
      <c r="V58" t="n">
        <v>1</v>
      </c>
      <c r="AF58" t="n">
        <v>4</v>
      </c>
      <c r="AG58" t="inlineStr">
        <is>
          <t>alineado</t>
        </is>
      </c>
      <c r="AH58" t="inlineStr">
        <is>
          <t>adelantado</t>
        </is>
      </c>
    </row>
    <row r="59">
      <c r="A59" t="inlineStr">
        <is>
          <t>Acidificación del océano</t>
        </is>
      </c>
      <c r="B59" t="inlineStr">
        <is>
          <t>posterior</t>
        </is>
      </c>
      <c r="C59" t="n">
        <v>7</v>
      </c>
      <c r="D59" t="n">
        <v>7</v>
      </c>
      <c r="H59" t="n">
        <v>7</v>
      </c>
      <c r="Q59" t="n">
        <v>1</v>
      </c>
      <c r="AF59" t="n">
        <v>9</v>
      </c>
      <c r="AG59" t="inlineStr">
        <is>
          <t>sin_referente</t>
        </is>
      </c>
      <c r="AH59" t="inlineStr">
        <is>
          <t>posterior</t>
        </is>
      </c>
    </row>
    <row r="60">
      <c r="A60" t="inlineStr">
        <is>
          <t>Corrientes oceánicas superficiales y profundas</t>
        </is>
      </c>
      <c r="B60" t="inlineStr">
        <is>
          <t>posterior</t>
        </is>
      </c>
      <c r="C60" t="n">
        <v>9</v>
      </c>
      <c r="F60" t="n">
        <v>8</v>
      </c>
      <c r="J60" t="n">
        <v>7</v>
      </c>
      <c r="M60" t="n">
        <v>4.5</v>
      </c>
      <c r="O60" t="n">
        <v>1</v>
      </c>
      <c r="S60" t="n">
        <v>1</v>
      </c>
      <c r="V60" t="n">
        <v>1</v>
      </c>
      <c r="AF60" t="n">
        <v>9</v>
      </c>
      <c r="AG60" t="inlineStr">
        <is>
          <t>posterior</t>
        </is>
      </c>
      <c r="AH60" t="inlineStr">
        <is>
          <t>posterior</t>
        </is>
      </c>
    </row>
    <row r="61">
      <c r="A61" t="inlineStr">
        <is>
          <t>Oleaje, dinámica costera y sedimentación marina</t>
        </is>
      </c>
      <c r="B61" t="inlineStr">
        <is>
          <t>posterior</t>
        </is>
      </c>
      <c r="C61" t="n">
        <v>4</v>
      </c>
      <c r="D61" t="n">
        <v>4</v>
      </c>
      <c r="J61" t="n">
        <v>2.5</v>
      </c>
      <c r="M61" t="n">
        <v>4.5</v>
      </c>
      <c r="S61" t="n">
        <v>1</v>
      </c>
      <c r="V61" t="n">
        <v>1</v>
      </c>
      <c r="AF61" t="n">
        <v>9</v>
      </c>
      <c r="AG61" t="inlineStr">
        <is>
          <t>sin_referente</t>
        </is>
      </c>
      <c r="AH61" t="inlineStr">
        <is>
          <t>posterior</t>
        </is>
      </c>
    </row>
    <row r="62">
      <c r="A62" t="inlineStr">
        <is>
          <t>Origen del universo: el Big Bang</t>
        </is>
      </c>
      <c r="B62" t="inlineStr">
        <is>
          <t>sin_referente</t>
        </is>
      </c>
      <c r="C62" t="n">
        <v>5</v>
      </c>
      <c r="D62" t="n">
        <v>5</v>
      </c>
      <c r="H62" t="n">
        <v>4</v>
      </c>
      <c r="J62" t="n">
        <v>7</v>
      </c>
      <c r="K62" t="n">
        <v>8</v>
      </c>
      <c r="Q62" t="n">
        <v>1</v>
      </c>
      <c r="S62" t="n">
        <v>1</v>
      </c>
      <c r="T62" t="n">
        <v>1</v>
      </c>
      <c r="AF62" t="n">
        <v>5</v>
      </c>
      <c r="AG62" t="inlineStr">
        <is>
          <t>sin_referente</t>
        </is>
      </c>
      <c r="AH62" t="inlineStr">
        <is>
          <t>adelantado</t>
        </is>
      </c>
    </row>
    <row r="63">
      <c r="A63" t="inlineStr">
        <is>
          <t>Calidad del aire y contaminación atmosférica</t>
        </is>
      </c>
      <c r="B63" t="inlineStr">
        <is>
          <t>sin_referente</t>
        </is>
      </c>
      <c r="C63" t="n">
        <v>3</v>
      </c>
      <c r="D63" t="n">
        <v>3</v>
      </c>
      <c r="F63" t="n">
        <v>8</v>
      </c>
      <c r="H63" t="n">
        <v>7</v>
      </c>
      <c r="M63" t="n">
        <v>7</v>
      </c>
      <c r="O63" t="n">
        <v>1</v>
      </c>
      <c r="Q63" t="n">
        <v>1</v>
      </c>
      <c r="V63" t="n">
        <v>1</v>
      </c>
      <c r="AF63" t="n">
        <v>7</v>
      </c>
      <c r="AG63" t="inlineStr">
        <is>
          <t>sin_referente</t>
        </is>
      </c>
      <c r="AH63" t="inlineStr">
        <is>
          <t>alineado</t>
        </is>
      </c>
    </row>
    <row r="64">
      <c r="A64" t="inlineStr">
        <is>
          <t>Capas de la atmósfera y variación con la altitud</t>
        </is>
      </c>
      <c r="B64" t="inlineStr">
        <is>
          <t>sin_referente</t>
        </is>
      </c>
      <c r="C64" t="n">
        <v>3</v>
      </c>
      <c r="D64" t="n">
        <v>3</v>
      </c>
      <c r="G64" t="n">
        <v>6</v>
      </c>
      <c r="J64" t="n">
        <v>7</v>
      </c>
      <c r="M64" t="n">
        <v>7</v>
      </c>
      <c r="P64" t="n">
        <v>1</v>
      </c>
      <c r="S64" t="n">
        <v>1</v>
      </c>
      <c r="V64" t="n">
        <v>1</v>
      </c>
      <c r="AF64" t="n">
        <v>3</v>
      </c>
      <c r="AG64" t="inlineStr">
        <is>
          <t>sin_referente</t>
        </is>
      </c>
      <c r="AH64" t="inlineStr">
        <is>
          <t>adelantado</t>
        </is>
      </c>
    </row>
    <row r="65">
      <c r="A65" t="inlineStr">
        <is>
          <t>Ciclones tropicales y tormentas</t>
        </is>
      </c>
      <c r="B65" t="inlineStr">
        <is>
          <t>sin_referente</t>
        </is>
      </c>
      <c r="C65" t="n">
        <v>4</v>
      </c>
      <c r="D65" t="n">
        <v>4</v>
      </c>
      <c r="M65" t="n">
        <v>4.5</v>
      </c>
      <c r="V65" t="n">
        <v>1</v>
      </c>
      <c r="AF65" t="n">
        <v>4</v>
      </c>
      <c r="AG65" t="inlineStr">
        <is>
          <t>sin_referente</t>
        </is>
      </c>
      <c r="AH65" t="inlineStr">
        <is>
          <t>sin_referente</t>
        </is>
      </c>
    </row>
    <row r="66">
      <c r="A66" t="inlineStr">
        <is>
          <t>Deriva continental y expansión del fondo oceánico</t>
        </is>
      </c>
      <c r="B66" t="inlineStr">
        <is>
          <t>sin_referente</t>
        </is>
      </c>
      <c r="C66" t="n">
        <v>5</v>
      </c>
      <c r="D66" t="n">
        <v>5</v>
      </c>
      <c r="E66" t="n">
        <v>7</v>
      </c>
      <c r="J66" t="n">
        <v>7</v>
      </c>
      <c r="N66" t="n">
        <v>1</v>
      </c>
      <c r="S66" t="n">
        <v>1</v>
      </c>
      <c r="AF66" t="n">
        <v>5</v>
      </c>
      <c r="AG66" t="inlineStr">
        <is>
          <t>sin_referente</t>
        </is>
      </c>
      <c r="AH66" t="inlineStr">
        <is>
          <t>sin_referente</t>
        </is>
      </c>
    </row>
    <row r="67">
      <c r="A67" t="inlineStr">
        <is>
          <t>Energía geotérmica</t>
        </is>
      </c>
      <c r="B67" t="inlineStr">
        <is>
          <t>sin_referente</t>
        </is>
      </c>
      <c r="C67" t="n">
        <v>2</v>
      </c>
      <c r="D67" t="n">
        <v>2</v>
      </c>
      <c r="AG67" t="inlineStr">
        <is>
          <t>sin_referente</t>
        </is>
      </c>
      <c r="AH67" t="inlineStr">
        <is>
          <t>no_aplica</t>
        </is>
      </c>
    </row>
    <row r="68">
      <c r="A68" t="inlineStr">
        <is>
          <t>Ciclo de vida de las estrellas</t>
        </is>
      </c>
      <c r="B68" t="inlineStr">
        <is>
          <t>sin_referente</t>
        </is>
      </c>
      <c r="C68" t="n">
        <v>5</v>
      </c>
      <c r="D68" t="n">
        <v>5</v>
      </c>
      <c r="AF68" t="n">
        <v>5</v>
      </c>
      <c r="AG68" t="inlineStr">
        <is>
          <t>sin_referente</t>
        </is>
      </c>
      <c r="AH68" t="inlineStr">
        <is>
          <t>sin_referente</t>
        </is>
      </c>
    </row>
    <row r="69">
      <c r="A69" t="inlineStr">
        <is>
          <t>Formación y evolución temprana de la Tierra</t>
        </is>
      </c>
      <c r="B69" t="inlineStr">
        <is>
          <t>sin_referente</t>
        </is>
      </c>
      <c r="C69" t="n">
        <v>4</v>
      </c>
      <c r="D69" t="n">
        <v>4</v>
      </c>
      <c r="G69" t="n">
        <v>8.5</v>
      </c>
      <c r="P69" t="n">
        <v>1</v>
      </c>
      <c r="AF69" t="n">
        <v>5</v>
      </c>
      <c r="AG69" t="inlineStr">
        <is>
          <t>sin_referente</t>
        </is>
      </c>
      <c r="AH69" t="inlineStr">
        <is>
          <t>sin_referente</t>
        </is>
      </c>
    </row>
    <row r="70">
      <c r="A70" t="inlineStr">
        <is>
          <t>Formación del sistema solar</t>
        </is>
      </c>
      <c r="B70" t="inlineStr">
        <is>
          <t>sin_referente</t>
        </is>
      </c>
      <c r="C70" t="n">
        <v>4</v>
      </c>
      <c r="D70" t="n">
        <v>4</v>
      </c>
      <c r="K70" t="n">
        <v>8</v>
      </c>
      <c r="T70" t="n">
        <v>1</v>
      </c>
      <c r="AF70" t="n">
        <v>5</v>
      </c>
      <c r="AG70" t="inlineStr">
        <is>
          <t>sin_referente</t>
        </is>
      </c>
      <c r="AH70" t="inlineStr">
        <is>
          <t>sin_referente</t>
        </is>
      </c>
    </row>
    <row r="71">
      <c r="A71" t="inlineStr">
        <is>
          <t>Geología y geomorfología de El Salvador</t>
        </is>
      </c>
      <c r="B71" t="inlineStr">
        <is>
          <t>sin_referente</t>
        </is>
      </c>
      <c r="C71" t="n">
        <v>5</v>
      </c>
      <c r="D71" t="n">
        <v>5</v>
      </c>
      <c r="F71" t="n">
        <v>2.5</v>
      </c>
      <c r="O71" t="n">
        <v>1</v>
      </c>
      <c r="AF71" t="n">
        <v>5</v>
      </c>
      <c r="AG71" t="inlineStr">
        <is>
          <t>sin_referente</t>
        </is>
      </c>
      <c r="AH71" t="inlineStr">
        <is>
          <t>sin_referente</t>
        </is>
      </c>
    </row>
    <row r="72">
      <c r="A72" t="inlineStr">
        <is>
          <t>Ondas sísmicas, magnitud e intensidad</t>
        </is>
      </c>
      <c r="B72" t="inlineStr">
        <is>
          <t>sin_referente</t>
        </is>
      </c>
      <c r="C72" t="n">
        <v>5</v>
      </c>
      <c r="D72" t="n">
        <v>5</v>
      </c>
      <c r="I72" t="n">
        <v>6</v>
      </c>
      <c r="R72" t="n">
        <v>1</v>
      </c>
      <c r="AF72" t="n">
        <v>5</v>
      </c>
      <c r="AG72" t="inlineStr">
        <is>
          <t>sin_referente</t>
        </is>
      </c>
      <c r="AH72" t="inlineStr">
        <is>
          <t>sin_referente</t>
        </is>
      </c>
    </row>
    <row r="73">
      <c r="A73" t="inlineStr">
        <is>
          <t>Precursores, monitoreo y alerta de sismos y erupciones</t>
        </is>
      </c>
      <c r="B73" t="inlineStr">
        <is>
          <t>sin_referente</t>
        </is>
      </c>
      <c r="C73" t="n">
        <v>4</v>
      </c>
      <c r="D73" t="n">
        <v>4</v>
      </c>
      <c r="AF73" t="n">
        <v>5</v>
      </c>
      <c r="AG73" t="inlineStr">
        <is>
          <t>sin_referente</t>
        </is>
      </c>
      <c r="AH73" t="inlineStr">
        <is>
          <t>sin_referente</t>
        </is>
      </c>
    </row>
    <row r="74">
      <c r="A74" t="inlineStr">
        <is>
          <t>Satélites, asteroides y cometas</t>
        </is>
      </c>
      <c r="B74" t="inlineStr">
        <is>
          <t>sin_referente</t>
        </is>
      </c>
      <c r="C74" t="n">
        <v>4</v>
      </c>
      <c r="D74" t="n">
        <v>4</v>
      </c>
      <c r="H74" t="n">
        <v>5</v>
      </c>
      <c r="J74" t="n">
        <v>7</v>
      </c>
      <c r="K74" t="n">
        <v>5</v>
      </c>
      <c r="Q74" t="n">
        <v>1</v>
      </c>
      <c r="S74" t="n">
        <v>1</v>
      </c>
      <c r="T74" t="n">
        <v>1</v>
      </c>
      <c r="AF74" t="n">
        <v>4</v>
      </c>
      <c r="AG74" t="inlineStr">
        <is>
          <t>sin_referente</t>
        </is>
      </c>
      <c r="AH74" t="inlineStr">
        <is>
          <t>alineado</t>
        </is>
      </c>
    </row>
    <row r="75">
      <c r="A75" t="inlineStr">
        <is>
          <t>Sismicidad de El Salvador</t>
        </is>
      </c>
      <c r="B75" t="inlineStr">
        <is>
          <t>sin_referente</t>
        </is>
      </c>
      <c r="C75" t="n">
        <v>4</v>
      </c>
      <c r="D75" t="n">
        <v>4</v>
      </c>
      <c r="AF75" t="n">
        <v>4</v>
      </c>
      <c r="AG75" t="inlineStr">
        <is>
          <t>sin_referente</t>
        </is>
      </c>
      <c r="AH75" t="inlineStr">
        <is>
          <t>sin_referente</t>
        </is>
      </c>
    </row>
    <row r="76">
      <c r="A76" t="inlineStr">
        <is>
          <t>Tsunamis</t>
        </is>
      </c>
      <c r="B76" t="inlineStr">
        <is>
          <t>sin_referente</t>
        </is>
      </c>
      <c r="C76" t="n">
        <v>4</v>
      </c>
      <c r="D76" t="n">
        <v>4</v>
      </c>
      <c r="M76" t="n">
        <v>4.5</v>
      </c>
      <c r="V76" t="n">
        <v>1</v>
      </c>
      <c r="AG76" t="inlineStr">
        <is>
          <t>sin_referente</t>
        </is>
      </c>
      <c r="AH76" t="inlineStr">
        <is>
          <t>no_aplica</t>
        </is>
      </c>
    </row>
    <row r="77">
      <c r="A77" t="inlineStr">
        <is>
          <t>Vulcanismo de El Salvador</t>
        </is>
      </c>
      <c r="B77" t="inlineStr">
        <is>
          <t>sin_referente</t>
        </is>
      </c>
      <c r="C77" t="n">
        <v>4</v>
      </c>
      <c r="D77" t="n">
        <v>4</v>
      </c>
      <c r="AF77" t="n">
        <v>4</v>
      </c>
      <c r="AG77" t="inlineStr">
        <is>
          <t>sin_referente</t>
        </is>
      </c>
      <c r="AH77" t="inlineStr">
        <is>
          <t>sin_referente</t>
        </is>
      </c>
    </row>
    <row r="78">
      <c r="A78" t="inlineStr">
        <is>
          <t>Recursos naturales renovables y no renovables</t>
        </is>
      </c>
      <c r="B78" t="inlineStr">
        <is>
          <t>tardio</t>
        </is>
      </c>
      <c r="C78" t="n">
        <v>2</v>
      </c>
      <c r="D78" t="n">
        <v>2</v>
      </c>
      <c r="E78" t="n">
        <v>2</v>
      </c>
      <c r="F78" t="n">
        <v>5</v>
      </c>
      <c r="G78" t="n">
        <v>6</v>
      </c>
      <c r="H78" t="n">
        <v>2</v>
      </c>
      <c r="J78" t="n">
        <v>4.5</v>
      </c>
      <c r="K78" t="n">
        <v>4</v>
      </c>
      <c r="L78" t="n">
        <v>5</v>
      </c>
      <c r="M78" t="n">
        <v>2.5</v>
      </c>
      <c r="N78" t="n">
        <v>1</v>
      </c>
      <c r="O78" t="n">
        <v>1</v>
      </c>
      <c r="P78" t="n">
        <v>1</v>
      </c>
      <c r="Q78" t="n">
        <v>1</v>
      </c>
      <c r="S78" t="n">
        <v>1</v>
      </c>
      <c r="T78" t="n">
        <v>1</v>
      </c>
      <c r="U78" t="n">
        <v>1</v>
      </c>
      <c r="V78" t="n">
        <v>1</v>
      </c>
      <c r="Z78" t="n">
        <v>1</v>
      </c>
      <c r="AF78" t="n">
        <v>7</v>
      </c>
      <c r="AG78" t="inlineStr">
        <is>
          <t>adelantado</t>
        </is>
      </c>
      <c r="AH78" t="inlineStr">
        <is>
          <t>tardio</t>
        </is>
      </c>
    </row>
    <row r="79">
      <c r="A79" t="inlineStr">
        <is>
          <t>Suelo: formación, componentes y tipos</t>
        </is>
      </c>
      <c r="B79" t="inlineStr">
        <is>
          <t>tardio</t>
        </is>
      </c>
      <c r="C79" t="n">
        <v>5</v>
      </c>
      <c r="D79" t="n">
        <v>5</v>
      </c>
      <c r="E79" t="n">
        <v>2</v>
      </c>
      <c r="F79" t="n">
        <v>5</v>
      </c>
      <c r="G79" t="n">
        <v>2</v>
      </c>
      <c r="H79" t="n">
        <v>3</v>
      </c>
      <c r="I79" t="n">
        <v>3</v>
      </c>
      <c r="J79" t="n">
        <v>7</v>
      </c>
      <c r="K79" t="n">
        <v>2</v>
      </c>
      <c r="M79" t="n">
        <v>2.5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V79" t="n">
        <v>1</v>
      </c>
      <c r="AF79" t="n">
        <v>5</v>
      </c>
      <c r="AG79" t="inlineStr">
        <is>
          <t>tardio</t>
        </is>
      </c>
      <c r="AH79" t="inlineStr">
        <is>
          <t>tardio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Concepto</t>
        </is>
      </c>
      <c r="B1" s="1" t="inlineStr">
        <is>
          <t>Grado SV V2</t>
        </is>
      </c>
      <c r="C1" s="1" t="inlineStr">
        <is>
          <t>Paises con nucleo</t>
        </is>
      </c>
      <c r="D1" s="1" t="inlineStr">
        <is>
          <t>Mediana nucleo</t>
        </is>
      </c>
      <c r="E1" s="1" t="inlineStr">
        <is>
          <t>Paises con especializacion</t>
        </is>
      </c>
      <c r="F1" s="1" t="inlineStr">
        <is>
          <t>Diferencia SV - mediana</t>
        </is>
      </c>
      <c r="G1" s="1" t="inlineStr">
        <is>
          <t>Grado SV en 2-8</t>
        </is>
      </c>
      <c r="H1" s="1" t="inlineStr">
        <is>
          <t>Paises con nucleo en 2-8</t>
        </is>
      </c>
      <c r="I1" s="1" t="inlineStr">
        <is>
          <t>Lectura (regla simplificada)</t>
        </is>
      </c>
      <c r="J1" s="1" t="inlineStr">
        <is>
          <t>Clase oficial</t>
        </is>
      </c>
    </row>
    <row r="2">
      <c r="A2">
        <f>Datos!A2</f>
        <v/>
      </c>
      <c r="B2">
        <f>IF(Datos!C2="","",Datos!C2)</f>
        <v/>
      </c>
      <c r="C2">
        <f>COUNT(Datos!E2:M2)</f>
        <v/>
      </c>
      <c r="D2">
        <f>IF(C2=0,"",MEDIAN(Datos!E2:M2))</f>
        <v/>
      </c>
      <c r="E2">
        <f>COUNT(Datos!W2:AE2)</f>
        <v/>
      </c>
      <c r="F2">
        <f>IF(OR(B2="",D2=""),"",B2-D2)</f>
        <v/>
      </c>
      <c r="G2">
        <f>IF(Datos!D2="","",Datos!D2)</f>
        <v/>
      </c>
      <c r="H2">
        <f>COUNT(Datos!N2:V2)</f>
        <v/>
      </c>
      <c r="I2">
        <f>IF(B2="",IF(C2&gt;=5,"falta en SV",""),IF(G2="",IF(B2&gt;8,IF(C2&gt;=5,"SV tarde","despues del tramo"),IF(H2&gt;=5,"no retomado en 2-8","previo")),IF(B2&lt;2,"retomado",IF(AND(C2&lt;=1,E2&gt;=3),"solo especializacion",IF(F2="","coherente",IF(F2&lt;=-1.5,"SV adelantado",IF(F2&gt;=2,"SV tarde","coherente")))))))</f>
        <v/>
      </c>
      <c r="J2">
        <f>Datos!B2</f>
        <v/>
      </c>
    </row>
    <row r="3">
      <c r="A3">
        <f>Datos!A3</f>
        <v/>
      </c>
      <c r="B3">
        <f>IF(Datos!C3="","",Datos!C3)</f>
        <v/>
      </c>
      <c r="C3">
        <f>COUNT(Datos!E3:M3)</f>
        <v/>
      </c>
      <c r="D3">
        <f>IF(C3=0,"",MEDIAN(Datos!E3:M3))</f>
        <v/>
      </c>
      <c r="E3">
        <f>COUNT(Datos!W3:AE3)</f>
        <v/>
      </c>
      <c r="F3">
        <f>IF(OR(B3="",D3=""),"",B3-D3)</f>
        <v/>
      </c>
      <c r="G3">
        <f>IF(Datos!D3="","",Datos!D3)</f>
        <v/>
      </c>
      <c r="H3">
        <f>COUNT(Datos!N3:V3)</f>
        <v/>
      </c>
      <c r="I3">
        <f>IF(B3="",IF(C3&gt;=5,"falta en SV",""),IF(G3="",IF(B3&gt;8,IF(C3&gt;=5,"SV tarde","despues del tramo"),IF(H3&gt;=5,"no retomado en 2-8","previo")),IF(B3&lt;2,"retomado",IF(AND(C3&lt;=1,E3&gt;=3),"solo especializacion",IF(F3="","coherente",IF(F3&lt;=-1.5,"SV adelantado",IF(F3&gt;=2,"SV tarde","coherente")))))))</f>
        <v/>
      </c>
      <c r="J3">
        <f>Datos!B3</f>
        <v/>
      </c>
    </row>
    <row r="4">
      <c r="A4">
        <f>Datos!A4</f>
        <v/>
      </c>
      <c r="B4">
        <f>IF(Datos!C4="","",Datos!C4)</f>
        <v/>
      </c>
      <c r="C4">
        <f>COUNT(Datos!E4:M4)</f>
        <v/>
      </c>
      <c r="D4">
        <f>IF(C4=0,"",MEDIAN(Datos!E4:M4))</f>
        <v/>
      </c>
      <c r="E4">
        <f>COUNT(Datos!W4:AE4)</f>
        <v/>
      </c>
      <c r="F4">
        <f>IF(OR(B4="",D4=""),"",B4-D4)</f>
        <v/>
      </c>
      <c r="G4">
        <f>IF(Datos!D4="","",Datos!D4)</f>
        <v/>
      </c>
      <c r="H4">
        <f>COUNT(Datos!N4:V4)</f>
        <v/>
      </c>
      <c r="I4">
        <f>IF(B4="",IF(C4&gt;=5,"falta en SV",""),IF(G4="",IF(B4&gt;8,IF(C4&gt;=5,"SV tarde","despues del tramo"),IF(H4&gt;=5,"no retomado en 2-8","previo")),IF(B4&lt;2,"retomado",IF(AND(C4&lt;=1,E4&gt;=3),"solo especializacion",IF(F4="","coherente",IF(F4&lt;=-1.5,"SV adelantado",IF(F4&gt;=2,"SV tarde","coherente")))))))</f>
        <v/>
      </c>
      <c r="J4">
        <f>Datos!B4</f>
        <v/>
      </c>
    </row>
    <row r="5">
      <c r="A5">
        <f>Datos!A5</f>
        <v/>
      </c>
      <c r="B5">
        <f>IF(Datos!C5="","",Datos!C5)</f>
        <v/>
      </c>
      <c r="C5">
        <f>COUNT(Datos!E5:M5)</f>
        <v/>
      </c>
      <c r="D5">
        <f>IF(C5=0,"",MEDIAN(Datos!E5:M5))</f>
        <v/>
      </c>
      <c r="E5">
        <f>COUNT(Datos!W5:AE5)</f>
        <v/>
      </c>
      <c r="F5">
        <f>IF(OR(B5="",D5=""),"",B5-D5)</f>
        <v/>
      </c>
      <c r="G5">
        <f>IF(Datos!D5="","",Datos!D5)</f>
        <v/>
      </c>
      <c r="H5">
        <f>COUNT(Datos!N5:V5)</f>
        <v/>
      </c>
      <c r="I5">
        <f>IF(B5="",IF(C5&gt;=5,"falta en SV",""),IF(G5="",IF(B5&gt;8,IF(C5&gt;=5,"SV tarde","despues del tramo"),IF(H5&gt;=5,"no retomado en 2-8","previo")),IF(B5&lt;2,"retomado",IF(AND(C5&lt;=1,E5&gt;=3),"solo especializacion",IF(F5="","coherente",IF(F5&lt;=-1.5,"SV adelantado",IF(F5&gt;=2,"SV tarde","coherente")))))))</f>
        <v/>
      </c>
      <c r="J5">
        <f>Datos!B5</f>
        <v/>
      </c>
    </row>
    <row r="6">
      <c r="A6">
        <f>Datos!A6</f>
        <v/>
      </c>
      <c r="B6">
        <f>IF(Datos!C6="","",Datos!C6)</f>
        <v/>
      </c>
      <c r="C6">
        <f>COUNT(Datos!E6:M6)</f>
        <v/>
      </c>
      <c r="D6">
        <f>IF(C6=0,"",MEDIAN(Datos!E6:M6))</f>
        <v/>
      </c>
      <c r="E6">
        <f>COUNT(Datos!W6:AE6)</f>
        <v/>
      </c>
      <c r="F6">
        <f>IF(OR(B6="",D6=""),"",B6-D6)</f>
        <v/>
      </c>
      <c r="G6">
        <f>IF(Datos!D6="","",Datos!D6)</f>
        <v/>
      </c>
      <c r="H6">
        <f>COUNT(Datos!N6:V6)</f>
        <v/>
      </c>
      <c r="I6">
        <f>IF(B6="",IF(C6&gt;=5,"falta en SV",""),IF(G6="",IF(B6&gt;8,IF(C6&gt;=5,"SV tarde","despues del tramo"),IF(H6&gt;=5,"no retomado en 2-8","previo")),IF(B6&lt;2,"retomado",IF(AND(C6&lt;=1,E6&gt;=3),"solo especializacion",IF(F6="","coherente",IF(F6&lt;=-1.5,"SV adelantado",IF(F6&gt;=2,"SV tarde","coherente")))))))</f>
        <v/>
      </c>
      <c r="J6">
        <f>Datos!B6</f>
        <v/>
      </c>
    </row>
    <row r="7">
      <c r="A7">
        <f>Datos!A7</f>
        <v/>
      </c>
      <c r="B7">
        <f>IF(Datos!C7="","",Datos!C7)</f>
        <v/>
      </c>
      <c r="C7">
        <f>COUNT(Datos!E7:M7)</f>
        <v/>
      </c>
      <c r="D7">
        <f>IF(C7=0,"",MEDIAN(Datos!E7:M7))</f>
        <v/>
      </c>
      <c r="E7">
        <f>COUNT(Datos!W7:AE7)</f>
        <v/>
      </c>
      <c r="F7">
        <f>IF(OR(B7="",D7=""),"",B7-D7)</f>
        <v/>
      </c>
      <c r="G7">
        <f>IF(Datos!D7="","",Datos!D7)</f>
        <v/>
      </c>
      <c r="H7">
        <f>COUNT(Datos!N7:V7)</f>
        <v/>
      </c>
      <c r="I7">
        <f>IF(B7="",IF(C7&gt;=5,"falta en SV",""),IF(G7="",IF(B7&gt;8,IF(C7&gt;=5,"SV tarde","despues del tramo"),IF(H7&gt;=5,"no retomado en 2-8","previo")),IF(B7&lt;2,"retomado",IF(AND(C7&lt;=1,E7&gt;=3),"solo especializacion",IF(F7="","coherente",IF(F7&lt;=-1.5,"SV adelantado",IF(F7&gt;=2,"SV tarde","coherente")))))))</f>
        <v/>
      </c>
      <c r="J7">
        <f>Datos!B7</f>
        <v/>
      </c>
    </row>
    <row r="8">
      <c r="A8">
        <f>Datos!A8</f>
        <v/>
      </c>
      <c r="B8">
        <f>IF(Datos!C8="","",Datos!C8)</f>
        <v/>
      </c>
      <c r="C8">
        <f>COUNT(Datos!E8:M8)</f>
        <v/>
      </c>
      <c r="D8">
        <f>IF(C8=0,"",MEDIAN(Datos!E8:M8))</f>
        <v/>
      </c>
      <c r="E8">
        <f>COUNT(Datos!W8:AE8)</f>
        <v/>
      </c>
      <c r="F8">
        <f>IF(OR(B8="",D8=""),"",B8-D8)</f>
        <v/>
      </c>
      <c r="G8">
        <f>IF(Datos!D8="","",Datos!D8)</f>
        <v/>
      </c>
      <c r="H8">
        <f>COUNT(Datos!N8:V8)</f>
        <v/>
      </c>
      <c r="I8">
        <f>IF(B8="",IF(C8&gt;=5,"falta en SV",""),IF(G8="",IF(B8&gt;8,IF(C8&gt;=5,"SV tarde","despues del tramo"),IF(H8&gt;=5,"no retomado en 2-8","previo")),IF(B8&lt;2,"retomado",IF(AND(C8&lt;=1,E8&gt;=3),"solo especializacion",IF(F8="","coherente",IF(F8&lt;=-1.5,"SV adelantado",IF(F8&gt;=2,"SV tarde","coherente")))))))</f>
        <v/>
      </c>
      <c r="J8">
        <f>Datos!B8</f>
        <v/>
      </c>
    </row>
    <row r="9">
      <c r="A9">
        <f>Datos!A9</f>
        <v/>
      </c>
      <c r="B9">
        <f>IF(Datos!C9="","",Datos!C9)</f>
        <v/>
      </c>
      <c r="C9">
        <f>COUNT(Datos!E9:M9)</f>
        <v/>
      </c>
      <c r="D9">
        <f>IF(C9=0,"",MEDIAN(Datos!E9:M9))</f>
        <v/>
      </c>
      <c r="E9">
        <f>COUNT(Datos!W9:AE9)</f>
        <v/>
      </c>
      <c r="F9">
        <f>IF(OR(B9="",D9=""),"",B9-D9)</f>
        <v/>
      </c>
      <c r="G9">
        <f>IF(Datos!D9="","",Datos!D9)</f>
        <v/>
      </c>
      <c r="H9">
        <f>COUNT(Datos!N9:V9)</f>
        <v/>
      </c>
      <c r="I9">
        <f>IF(B9="",IF(C9&gt;=5,"falta en SV",""),IF(G9="",IF(B9&gt;8,IF(C9&gt;=5,"SV tarde","despues del tramo"),IF(H9&gt;=5,"no retomado en 2-8","previo")),IF(B9&lt;2,"retomado",IF(AND(C9&lt;=1,E9&gt;=3),"solo especializacion",IF(F9="","coherente",IF(F9&lt;=-1.5,"SV adelantado",IF(F9&gt;=2,"SV tarde","coherente")))))))</f>
        <v/>
      </c>
      <c r="J9">
        <f>Datos!B9</f>
        <v/>
      </c>
    </row>
    <row r="10">
      <c r="A10">
        <f>Datos!A10</f>
        <v/>
      </c>
      <c r="B10">
        <f>IF(Datos!C10="","",Datos!C10)</f>
        <v/>
      </c>
      <c r="C10">
        <f>COUNT(Datos!E10:M10)</f>
        <v/>
      </c>
      <c r="D10">
        <f>IF(C10=0,"",MEDIAN(Datos!E10:M10))</f>
        <v/>
      </c>
      <c r="E10">
        <f>COUNT(Datos!W10:AE10)</f>
        <v/>
      </c>
      <c r="F10">
        <f>IF(OR(B10="",D10=""),"",B10-D10)</f>
        <v/>
      </c>
      <c r="G10">
        <f>IF(Datos!D10="","",Datos!D10)</f>
        <v/>
      </c>
      <c r="H10">
        <f>COUNT(Datos!N10:V10)</f>
        <v/>
      </c>
      <c r="I10">
        <f>IF(B10="",IF(C10&gt;=5,"falta en SV",""),IF(G10="",IF(B10&gt;8,IF(C10&gt;=5,"SV tarde","despues del tramo"),IF(H10&gt;=5,"no retomado en 2-8","previo")),IF(B10&lt;2,"retomado",IF(AND(C10&lt;=1,E10&gt;=3),"solo especializacion",IF(F10="","coherente",IF(F10&lt;=-1.5,"SV adelantado",IF(F10&gt;=2,"SV tarde","coherente")))))))</f>
        <v/>
      </c>
      <c r="J10">
        <f>Datos!B10</f>
        <v/>
      </c>
    </row>
    <row r="11">
      <c r="A11">
        <f>Datos!A11</f>
        <v/>
      </c>
      <c r="B11">
        <f>IF(Datos!C11="","",Datos!C11)</f>
        <v/>
      </c>
      <c r="C11">
        <f>COUNT(Datos!E11:M11)</f>
        <v/>
      </c>
      <c r="D11">
        <f>IF(C11=0,"",MEDIAN(Datos!E11:M11))</f>
        <v/>
      </c>
      <c r="E11">
        <f>COUNT(Datos!W11:AE11)</f>
        <v/>
      </c>
      <c r="F11">
        <f>IF(OR(B11="",D11=""),"",B11-D11)</f>
        <v/>
      </c>
      <c r="G11">
        <f>IF(Datos!D11="","",Datos!D11)</f>
        <v/>
      </c>
      <c r="H11">
        <f>COUNT(Datos!N11:V11)</f>
        <v/>
      </c>
      <c r="I11">
        <f>IF(B11="",IF(C11&gt;=5,"falta en SV",""),IF(G11="",IF(B11&gt;8,IF(C11&gt;=5,"SV tarde","despues del tramo"),IF(H11&gt;=5,"no retomado en 2-8","previo")),IF(B11&lt;2,"retomado",IF(AND(C11&lt;=1,E11&gt;=3),"solo especializacion",IF(F11="","coherente",IF(F11&lt;=-1.5,"SV adelantado",IF(F11&gt;=2,"SV tarde","coherente")))))))</f>
        <v/>
      </c>
      <c r="J11">
        <f>Datos!B11</f>
        <v/>
      </c>
    </row>
    <row r="12">
      <c r="A12">
        <f>Datos!A12</f>
        <v/>
      </c>
      <c r="B12">
        <f>IF(Datos!C12="","",Datos!C12)</f>
        <v/>
      </c>
      <c r="C12">
        <f>COUNT(Datos!E12:M12)</f>
        <v/>
      </c>
      <c r="D12">
        <f>IF(C12=0,"",MEDIAN(Datos!E12:M12))</f>
        <v/>
      </c>
      <c r="E12">
        <f>COUNT(Datos!W12:AE12)</f>
        <v/>
      </c>
      <c r="F12">
        <f>IF(OR(B12="",D12=""),"",B12-D12)</f>
        <v/>
      </c>
      <c r="G12">
        <f>IF(Datos!D12="","",Datos!D12)</f>
        <v/>
      </c>
      <c r="H12">
        <f>COUNT(Datos!N12:V12)</f>
        <v/>
      </c>
      <c r="I12">
        <f>IF(B12="",IF(C12&gt;=5,"falta en SV",""),IF(G12="",IF(B12&gt;8,IF(C12&gt;=5,"SV tarde","despues del tramo"),IF(H12&gt;=5,"no retomado en 2-8","previo")),IF(B12&lt;2,"retomado",IF(AND(C12&lt;=1,E12&gt;=3),"solo especializacion",IF(F12="","coherente",IF(F12&lt;=-1.5,"SV adelantado",IF(F12&gt;=2,"SV tarde","coherente")))))))</f>
        <v/>
      </c>
      <c r="J12">
        <f>Datos!B12</f>
        <v/>
      </c>
    </row>
    <row r="13">
      <c r="A13">
        <f>Datos!A13</f>
        <v/>
      </c>
      <c r="B13">
        <f>IF(Datos!C13="","",Datos!C13)</f>
        <v/>
      </c>
      <c r="C13">
        <f>COUNT(Datos!E13:M13)</f>
        <v/>
      </c>
      <c r="D13">
        <f>IF(C13=0,"",MEDIAN(Datos!E13:M13))</f>
        <v/>
      </c>
      <c r="E13">
        <f>COUNT(Datos!W13:AE13)</f>
        <v/>
      </c>
      <c r="F13">
        <f>IF(OR(B13="",D13=""),"",B13-D13)</f>
        <v/>
      </c>
      <c r="G13">
        <f>IF(Datos!D13="","",Datos!D13)</f>
        <v/>
      </c>
      <c r="H13">
        <f>COUNT(Datos!N13:V13)</f>
        <v/>
      </c>
      <c r="I13">
        <f>IF(B13="",IF(C13&gt;=5,"falta en SV",""),IF(G13="",IF(B13&gt;8,IF(C13&gt;=5,"SV tarde","despues del tramo"),IF(H13&gt;=5,"no retomado en 2-8","previo")),IF(B13&lt;2,"retomado",IF(AND(C13&lt;=1,E13&gt;=3),"solo especializacion",IF(F13="","coherente",IF(F13&lt;=-1.5,"SV adelantado",IF(F13&gt;=2,"SV tarde","coherente")))))))</f>
        <v/>
      </c>
      <c r="J13">
        <f>Datos!B13</f>
        <v/>
      </c>
    </row>
    <row r="14">
      <c r="A14">
        <f>Datos!A14</f>
        <v/>
      </c>
      <c r="B14">
        <f>IF(Datos!C14="","",Datos!C14)</f>
        <v/>
      </c>
      <c r="C14">
        <f>COUNT(Datos!E14:M14)</f>
        <v/>
      </c>
      <c r="D14">
        <f>IF(C14=0,"",MEDIAN(Datos!E14:M14))</f>
        <v/>
      </c>
      <c r="E14">
        <f>COUNT(Datos!W14:AE14)</f>
        <v/>
      </c>
      <c r="F14">
        <f>IF(OR(B14="",D14=""),"",B14-D14)</f>
        <v/>
      </c>
      <c r="G14">
        <f>IF(Datos!D14="","",Datos!D14)</f>
        <v/>
      </c>
      <c r="H14">
        <f>COUNT(Datos!N14:V14)</f>
        <v/>
      </c>
      <c r="I14">
        <f>IF(B14="",IF(C14&gt;=5,"falta en SV",""),IF(G14="",IF(B14&gt;8,IF(C14&gt;=5,"SV tarde","despues del tramo"),IF(H14&gt;=5,"no retomado en 2-8","previo")),IF(B14&lt;2,"retomado",IF(AND(C14&lt;=1,E14&gt;=3),"solo especializacion",IF(F14="","coherente",IF(F14&lt;=-1.5,"SV adelantado",IF(F14&gt;=2,"SV tarde","coherente")))))))</f>
        <v/>
      </c>
      <c r="J14">
        <f>Datos!B14</f>
        <v/>
      </c>
    </row>
    <row r="15">
      <c r="A15">
        <f>Datos!A15</f>
        <v/>
      </c>
      <c r="B15">
        <f>IF(Datos!C15="","",Datos!C15)</f>
        <v/>
      </c>
      <c r="C15">
        <f>COUNT(Datos!E15:M15)</f>
        <v/>
      </c>
      <c r="D15">
        <f>IF(C15=0,"",MEDIAN(Datos!E15:M15))</f>
        <v/>
      </c>
      <c r="E15">
        <f>COUNT(Datos!W15:AE15)</f>
        <v/>
      </c>
      <c r="F15">
        <f>IF(OR(B15="",D15=""),"",B15-D15)</f>
        <v/>
      </c>
      <c r="G15">
        <f>IF(Datos!D15="","",Datos!D15)</f>
        <v/>
      </c>
      <c r="H15">
        <f>COUNT(Datos!N15:V15)</f>
        <v/>
      </c>
      <c r="I15">
        <f>IF(B15="",IF(C15&gt;=5,"falta en SV",""),IF(G15="",IF(B15&gt;8,IF(C15&gt;=5,"SV tarde","despues del tramo"),IF(H15&gt;=5,"no retomado en 2-8","previo")),IF(B15&lt;2,"retomado",IF(AND(C15&lt;=1,E15&gt;=3),"solo especializacion",IF(F15="","coherente",IF(F15&lt;=-1.5,"SV adelantado",IF(F15&gt;=2,"SV tarde","coherente")))))))</f>
        <v/>
      </c>
      <c r="J15">
        <f>Datos!B15</f>
        <v/>
      </c>
    </row>
    <row r="16">
      <c r="A16">
        <f>Datos!A16</f>
        <v/>
      </c>
      <c r="B16">
        <f>IF(Datos!C16="","",Datos!C16)</f>
        <v/>
      </c>
      <c r="C16">
        <f>COUNT(Datos!E16:M16)</f>
        <v/>
      </c>
      <c r="D16">
        <f>IF(C16=0,"",MEDIAN(Datos!E16:M16))</f>
        <v/>
      </c>
      <c r="E16">
        <f>COUNT(Datos!W16:AE16)</f>
        <v/>
      </c>
      <c r="F16">
        <f>IF(OR(B16="",D16=""),"",B16-D16)</f>
        <v/>
      </c>
      <c r="G16">
        <f>IF(Datos!D16="","",Datos!D16)</f>
        <v/>
      </c>
      <c r="H16">
        <f>COUNT(Datos!N16:V16)</f>
        <v/>
      </c>
      <c r="I16">
        <f>IF(B16="",IF(C16&gt;=5,"falta en SV",""),IF(G16="",IF(B16&gt;8,IF(C16&gt;=5,"SV tarde","despues del tramo"),IF(H16&gt;=5,"no retomado en 2-8","previo")),IF(B16&lt;2,"retomado",IF(AND(C16&lt;=1,E16&gt;=3),"solo especializacion",IF(F16="","coherente",IF(F16&lt;=-1.5,"SV adelantado",IF(F16&gt;=2,"SV tarde","coherente")))))))</f>
        <v/>
      </c>
      <c r="J16">
        <f>Datos!B16</f>
        <v/>
      </c>
    </row>
    <row r="17">
      <c r="A17">
        <f>Datos!A17</f>
        <v/>
      </c>
      <c r="B17">
        <f>IF(Datos!C17="","",Datos!C17)</f>
        <v/>
      </c>
      <c r="C17">
        <f>COUNT(Datos!E17:M17)</f>
        <v/>
      </c>
      <c r="D17">
        <f>IF(C17=0,"",MEDIAN(Datos!E17:M17))</f>
        <v/>
      </c>
      <c r="E17">
        <f>COUNT(Datos!W17:AE17)</f>
        <v/>
      </c>
      <c r="F17">
        <f>IF(OR(B17="",D17=""),"",B17-D17)</f>
        <v/>
      </c>
      <c r="G17">
        <f>IF(Datos!D17="","",Datos!D17)</f>
        <v/>
      </c>
      <c r="H17">
        <f>COUNT(Datos!N17:V17)</f>
        <v/>
      </c>
      <c r="I17">
        <f>IF(B17="",IF(C17&gt;=5,"falta en SV",""),IF(G17="",IF(B17&gt;8,IF(C17&gt;=5,"SV tarde","despues del tramo"),IF(H17&gt;=5,"no retomado en 2-8","previo")),IF(B17&lt;2,"retomado",IF(AND(C17&lt;=1,E17&gt;=3),"solo especializacion",IF(F17="","coherente",IF(F17&lt;=-1.5,"SV adelantado",IF(F17&gt;=2,"SV tarde","coherente")))))))</f>
        <v/>
      </c>
      <c r="J17">
        <f>Datos!B17</f>
        <v/>
      </c>
    </row>
    <row r="18">
      <c r="A18">
        <f>Datos!A18</f>
        <v/>
      </c>
      <c r="B18">
        <f>IF(Datos!C18="","",Datos!C18)</f>
        <v/>
      </c>
      <c r="C18">
        <f>COUNT(Datos!E18:M18)</f>
        <v/>
      </c>
      <c r="D18">
        <f>IF(C18=0,"",MEDIAN(Datos!E18:M18))</f>
        <v/>
      </c>
      <c r="E18">
        <f>COUNT(Datos!W18:AE18)</f>
        <v/>
      </c>
      <c r="F18">
        <f>IF(OR(B18="",D18=""),"",B18-D18)</f>
        <v/>
      </c>
      <c r="G18">
        <f>IF(Datos!D18="","",Datos!D18)</f>
        <v/>
      </c>
      <c r="H18">
        <f>COUNT(Datos!N18:V18)</f>
        <v/>
      </c>
      <c r="I18">
        <f>IF(B18="",IF(C18&gt;=5,"falta en SV",""),IF(G18="",IF(B18&gt;8,IF(C18&gt;=5,"SV tarde","despues del tramo"),IF(H18&gt;=5,"no retomado en 2-8","previo")),IF(B18&lt;2,"retomado",IF(AND(C18&lt;=1,E18&gt;=3),"solo especializacion",IF(F18="","coherente",IF(F18&lt;=-1.5,"SV adelantado",IF(F18&gt;=2,"SV tarde","coherente")))))))</f>
        <v/>
      </c>
      <c r="J18">
        <f>Datos!B18</f>
        <v/>
      </c>
    </row>
    <row r="19">
      <c r="A19">
        <f>Datos!A19</f>
        <v/>
      </c>
      <c r="B19">
        <f>IF(Datos!C19="","",Datos!C19)</f>
        <v/>
      </c>
      <c r="C19">
        <f>COUNT(Datos!E19:M19)</f>
        <v/>
      </c>
      <c r="D19">
        <f>IF(C19=0,"",MEDIAN(Datos!E19:M19))</f>
        <v/>
      </c>
      <c r="E19">
        <f>COUNT(Datos!W19:AE19)</f>
        <v/>
      </c>
      <c r="F19">
        <f>IF(OR(B19="",D19=""),"",B19-D19)</f>
        <v/>
      </c>
      <c r="G19">
        <f>IF(Datos!D19="","",Datos!D19)</f>
        <v/>
      </c>
      <c r="H19">
        <f>COUNT(Datos!N19:V19)</f>
        <v/>
      </c>
      <c r="I19">
        <f>IF(B19="",IF(C19&gt;=5,"falta en SV",""),IF(G19="",IF(B19&gt;8,IF(C19&gt;=5,"SV tarde","despues del tramo"),IF(H19&gt;=5,"no retomado en 2-8","previo")),IF(B19&lt;2,"retomado",IF(AND(C19&lt;=1,E19&gt;=3),"solo especializacion",IF(F19="","coherente",IF(F19&lt;=-1.5,"SV adelantado",IF(F19&gt;=2,"SV tarde","coherente")))))))</f>
        <v/>
      </c>
      <c r="J19">
        <f>Datos!B19</f>
        <v/>
      </c>
    </row>
    <row r="20">
      <c r="A20">
        <f>Datos!A20</f>
        <v/>
      </c>
      <c r="B20">
        <f>IF(Datos!C20="","",Datos!C20)</f>
        <v/>
      </c>
      <c r="C20">
        <f>COUNT(Datos!E20:M20)</f>
        <v/>
      </c>
      <c r="D20">
        <f>IF(C20=0,"",MEDIAN(Datos!E20:M20))</f>
        <v/>
      </c>
      <c r="E20">
        <f>COUNT(Datos!W20:AE20)</f>
        <v/>
      </c>
      <c r="F20">
        <f>IF(OR(B20="",D20=""),"",B20-D20)</f>
        <v/>
      </c>
      <c r="G20">
        <f>IF(Datos!D20="","",Datos!D20)</f>
        <v/>
      </c>
      <c r="H20">
        <f>COUNT(Datos!N20:V20)</f>
        <v/>
      </c>
      <c r="I20">
        <f>IF(B20="",IF(C20&gt;=5,"falta en SV",""),IF(G20="",IF(B20&gt;8,IF(C20&gt;=5,"SV tarde","despues del tramo"),IF(H20&gt;=5,"no retomado en 2-8","previo")),IF(B20&lt;2,"retomado",IF(AND(C20&lt;=1,E20&gt;=3),"solo especializacion",IF(F20="","coherente",IF(F20&lt;=-1.5,"SV adelantado",IF(F20&gt;=2,"SV tarde","coherente")))))))</f>
        <v/>
      </c>
      <c r="J20">
        <f>Datos!B20</f>
        <v/>
      </c>
    </row>
    <row r="21">
      <c r="A21">
        <f>Datos!A21</f>
        <v/>
      </c>
      <c r="B21">
        <f>IF(Datos!C21="","",Datos!C21)</f>
        <v/>
      </c>
      <c r="C21">
        <f>COUNT(Datos!E21:M21)</f>
        <v/>
      </c>
      <c r="D21">
        <f>IF(C21=0,"",MEDIAN(Datos!E21:M21))</f>
        <v/>
      </c>
      <c r="E21">
        <f>COUNT(Datos!W21:AE21)</f>
        <v/>
      </c>
      <c r="F21">
        <f>IF(OR(B21="",D21=""),"",B21-D21)</f>
        <v/>
      </c>
      <c r="G21">
        <f>IF(Datos!D21="","",Datos!D21)</f>
        <v/>
      </c>
      <c r="H21">
        <f>COUNT(Datos!N21:V21)</f>
        <v/>
      </c>
      <c r="I21">
        <f>IF(B21="",IF(C21&gt;=5,"falta en SV",""),IF(G21="",IF(B21&gt;8,IF(C21&gt;=5,"SV tarde","despues del tramo"),IF(H21&gt;=5,"no retomado en 2-8","previo")),IF(B21&lt;2,"retomado",IF(AND(C21&lt;=1,E21&gt;=3),"solo especializacion",IF(F21="","coherente",IF(F21&lt;=-1.5,"SV adelantado",IF(F21&gt;=2,"SV tarde","coherente")))))))</f>
        <v/>
      </c>
      <c r="J21">
        <f>Datos!B21</f>
        <v/>
      </c>
    </row>
    <row r="22">
      <c r="A22">
        <f>Datos!A22</f>
        <v/>
      </c>
      <c r="B22">
        <f>IF(Datos!C22="","",Datos!C22)</f>
        <v/>
      </c>
      <c r="C22">
        <f>COUNT(Datos!E22:M22)</f>
        <v/>
      </c>
      <c r="D22">
        <f>IF(C22=0,"",MEDIAN(Datos!E22:M22))</f>
        <v/>
      </c>
      <c r="E22">
        <f>COUNT(Datos!W22:AE22)</f>
        <v/>
      </c>
      <c r="F22">
        <f>IF(OR(B22="",D22=""),"",B22-D22)</f>
        <v/>
      </c>
      <c r="G22">
        <f>IF(Datos!D22="","",Datos!D22)</f>
        <v/>
      </c>
      <c r="H22">
        <f>COUNT(Datos!N22:V22)</f>
        <v/>
      </c>
      <c r="I22">
        <f>IF(B22="",IF(C22&gt;=5,"falta en SV",""),IF(G22="",IF(B22&gt;8,IF(C22&gt;=5,"SV tarde","despues del tramo"),IF(H22&gt;=5,"no retomado en 2-8","previo")),IF(B22&lt;2,"retomado",IF(AND(C22&lt;=1,E22&gt;=3),"solo especializacion",IF(F22="","coherente",IF(F22&lt;=-1.5,"SV adelantado",IF(F22&gt;=2,"SV tarde","coherente")))))))</f>
        <v/>
      </c>
      <c r="J22">
        <f>Datos!B22</f>
        <v/>
      </c>
    </row>
    <row r="23">
      <c r="A23">
        <f>Datos!A23</f>
        <v/>
      </c>
      <c r="B23">
        <f>IF(Datos!C23="","",Datos!C23)</f>
        <v/>
      </c>
      <c r="C23">
        <f>COUNT(Datos!E23:M23)</f>
        <v/>
      </c>
      <c r="D23">
        <f>IF(C23=0,"",MEDIAN(Datos!E23:M23))</f>
        <v/>
      </c>
      <c r="E23">
        <f>COUNT(Datos!W23:AE23)</f>
        <v/>
      </c>
      <c r="F23">
        <f>IF(OR(B23="",D23=""),"",B23-D23)</f>
        <v/>
      </c>
      <c r="G23">
        <f>IF(Datos!D23="","",Datos!D23)</f>
        <v/>
      </c>
      <c r="H23">
        <f>COUNT(Datos!N23:V23)</f>
        <v/>
      </c>
      <c r="I23">
        <f>IF(B23="",IF(C23&gt;=5,"falta en SV",""),IF(G23="",IF(B23&gt;8,IF(C23&gt;=5,"SV tarde","despues del tramo"),IF(H23&gt;=5,"no retomado en 2-8","previo")),IF(B23&lt;2,"retomado",IF(AND(C23&lt;=1,E23&gt;=3),"solo especializacion",IF(F23="","coherente",IF(F23&lt;=-1.5,"SV adelantado",IF(F23&gt;=2,"SV tarde","coherente")))))))</f>
        <v/>
      </c>
      <c r="J23">
        <f>Datos!B23</f>
        <v/>
      </c>
    </row>
    <row r="24">
      <c r="A24">
        <f>Datos!A24</f>
        <v/>
      </c>
      <c r="B24">
        <f>IF(Datos!C24="","",Datos!C24)</f>
        <v/>
      </c>
      <c r="C24">
        <f>COUNT(Datos!E24:M24)</f>
        <v/>
      </c>
      <c r="D24">
        <f>IF(C24=0,"",MEDIAN(Datos!E24:M24))</f>
        <v/>
      </c>
      <c r="E24">
        <f>COUNT(Datos!W24:AE24)</f>
        <v/>
      </c>
      <c r="F24">
        <f>IF(OR(B24="",D24=""),"",B24-D24)</f>
        <v/>
      </c>
      <c r="G24">
        <f>IF(Datos!D24="","",Datos!D24)</f>
        <v/>
      </c>
      <c r="H24">
        <f>COUNT(Datos!N24:V24)</f>
        <v/>
      </c>
      <c r="I24">
        <f>IF(B24="",IF(C24&gt;=5,"falta en SV",""),IF(G24="",IF(B24&gt;8,IF(C24&gt;=5,"SV tarde","despues del tramo"),IF(H24&gt;=5,"no retomado en 2-8","previo")),IF(B24&lt;2,"retomado",IF(AND(C24&lt;=1,E24&gt;=3),"solo especializacion",IF(F24="","coherente",IF(F24&lt;=-1.5,"SV adelantado",IF(F24&gt;=2,"SV tarde","coherente")))))))</f>
        <v/>
      </c>
      <c r="J24">
        <f>Datos!B24</f>
        <v/>
      </c>
    </row>
    <row r="25">
      <c r="A25">
        <f>Datos!A25</f>
        <v/>
      </c>
      <c r="B25">
        <f>IF(Datos!C25="","",Datos!C25)</f>
        <v/>
      </c>
      <c r="C25">
        <f>COUNT(Datos!E25:M25)</f>
        <v/>
      </c>
      <c r="D25">
        <f>IF(C25=0,"",MEDIAN(Datos!E25:M25))</f>
        <v/>
      </c>
      <c r="E25">
        <f>COUNT(Datos!W25:AE25)</f>
        <v/>
      </c>
      <c r="F25">
        <f>IF(OR(B25="",D25=""),"",B25-D25)</f>
        <v/>
      </c>
      <c r="G25">
        <f>IF(Datos!D25="","",Datos!D25)</f>
        <v/>
      </c>
      <c r="H25">
        <f>COUNT(Datos!N25:V25)</f>
        <v/>
      </c>
      <c r="I25">
        <f>IF(B25="",IF(C25&gt;=5,"falta en SV",""),IF(G25="",IF(B25&gt;8,IF(C25&gt;=5,"SV tarde","despues del tramo"),IF(H25&gt;=5,"no retomado en 2-8","previo")),IF(B25&lt;2,"retomado",IF(AND(C25&lt;=1,E25&gt;=3),"solo especializacion",IF(F25="","coherente",IF(F25&lt;=-1.5,"SV adelantado",IF(F25&gt;=2,"SV tarde","coherente")))))))</f>
        <v/>
      </c>
      <c r="J25">
        <f>Datos!B25</f>
        <v/>
      </c>
    </row>
    <row r="26">
      <c r="A26">
        <f>Datos!A26</f>
        <v/>
      </c>
      <c r="B26">
        <f>IF(Datos!C26="","",Datos!C26)</f>
        <v/>
      </c>
      <c r="C26">
        <f>COUNT(Datos!E26:M26)</f>
        <v/>
      </c>
      <c r="D26">
        <f>IF(C26=0,"",MEDIAN(Datos!E26:M26))</f>
        <v/>
      </c>
      <c r="E26">
        <f>COUNT(Datos!W26:AE26)</f>
        <v/>
      </c>
      <c r="F26">
        <f>IF(OR(B26="",D26=""),"",B26-D26)</f>
        <v/>
      </c>
      <c r="G26">
        <f>IF(Datos!D26="","",Datos!D26)</f>
        <v/>
      </c>
      <c r="H26">
        <f>COUNT(Datos!N26:V26)</f>
        <v/>
      </c>
      <c r="I26">
        <f>IF(B26="",IF(C26&gt;=5,"falta en SV",""),IF(G26="",IF(B26&gt;8,IF(C26&gt;=5,"SV tarde","despues del tramo"),IF(H26&gt;=5,"no retomado en 2-8","previo")),IF(B26&lt;2,"retomado",IF(AND(C26&lt;=1,E26&gt;=3),"solo especializacion",IF(F26="","coherente",IF(F26&lt;=-1.5,"SV adelantado",IF(F26&gt;=2,"SV tarde","coherente")))))))</f>
        <v/>
      </c>
      <c r="J26">
        <f>Datos!B26</f>
        <v/>
      </c>
    </row>
    <row r="27">
      <c r="A27">
        <f>Datos!A27</f>
        <v/>
      </c>
      <c r="B27">
        <f>IF(Datos!C27="","",Datos!C27)</f>
        <v/>
      </c>
      <c r="C27">
        <f>COUNT(Datos!E27:M27)</f>
        <v/>
      </c>
      <c r="D27">
        <f>IF(C27=0,"",MEDIAN(Datos!E27:M27))</f>
        <v/>
      </c>
      <c r="E27">
        <f>COUNT(Datos!W27:AE27)</f>
        <v/>
      </c>
      <c r="F27">
        <f>IF(OR(B27="",D27=""),"",B27-D27)</f>
        <v/>
      </c>
      <c r="G27">
        <f>IF(Datos!D27="","",Datos!D27)</f>
        <v/>
      </c>
      <c r="H27">
        <f>COUNT(Datos!N27:V27)</f>
        <v/>
      </c>
      <c r="I27">
        <f>IF(B27="",IF(C27&gt;=5,"falta en SV",""),IF(G27="",IF(B27&gt;8,IF(C27&gt;=5,"SV tarde","despues del tramo"),IF(H27&gt;=5,"no retomado en 2-8","previo")),IF(B27&lt;2,"retomado",IF(AND(C27&lt;=1,E27&gt;=3),"solo especializacion",IF(F27="","coherente",IF(F27&lt;=-1.5,"SV adelantado",IF(F27&gt;=2,"SV tarde","coherente")))))))</f>
        <v/>
      </c>
      <c r="J27">
        <f>Datos!B27</f>
        <v/>
      </c>
    </row>
    <row r="28">
      <c r="A28">
        <f>Datos!A28</f>
        <v/>
      </c>
      <c r="B28">
        <f>IF(Datos!C28="","",Datos!C28)</f>
        <v/>
      </c>
      <c r="C28">
        <f>COUNT(Datos!E28:M28)</f>
        <v/>
      </c>
      <c r="D28">
        <f>IF(C28=0,"",MEDIAN(Datos!E28:M28))</f>
        <v/>
      </c>
      <c r="E28">
        <f>COUNT(Datos!W28:AE28)</f>
        <v/>
      </c>
      <c r="F28">
        <f>IF(OR(B28="",D28=""),"",B28-D28)</f>
        <v/>
      </c>
      <c r="G28">
        <f>IF(Datos!D28="","",Datos!D28)</f>
        <v/>
      </c>
      <c r="H28">
        <f>COUNT(Datos!N28:V28)</f>
        <v/>
      </c>
      <c r="I28">
        <f>IF(B28="",IF(C28&gt;=5,"falta en SV",""),IF(G28="",IF(B28&gt;8,IF(C28&gt;=5,"SV tarde","despues del tramo"),IF(H28&gt;=5,"no retomado en 2-8","previo")),IF(B28&lt;2,"retomado",IF(AND(C28&lt;=1,E28&gt;=3),"solo especializacion",IF(F28="","coherente",IF(F28&lt;=-1.5,"SV adelantado",IF(F28&gt;=2,"SV tarde","coherente")))))))</f>
        <v/>
      </c>
      <c r="J28">
        <f>Datos!B28</f>
        <v/>
      </c>
    </row>
    <row r="29">
      <c r="A29">
        <f>Datos!A29</f>
        <v/>
      </c>
      <c r="B29">
        <f>IF(Datos!C29="","",Datos!C29)</f>
        <v/>
      </c>
      <c r="C29">
        <f>COUNT(Datos!E29:M29)</f>
        <v/>
      </c>
      <c r="D29">
        <f>IF(C29=0,"",MEDIAN(Datos!E29:M29))</f>
        <v/>
      </c>
      <c r="E29">
        <f>COUNT(Datos!W29:AE29)</f>
        <v/>
      </c>
      <c r="F29">
        <f>IF(OR(B29="",D29=""),"",B29-D29)</f>
        <v/>
      </c>
      <c r="G29">
        <f>IF(Datos!D29="","",Datos!D29)</f>
        <v/>
      </c>
      <c r="H29">
        <f>COUNT(Datos!N29:V29)</f>
        <v/>
      </c>
      <c r="I29">
        <f>IF(B29="",IF(C29&gt;=5,"falta en SV",""),IF(G29="",IF(B29&gt;8,IF(C29&gt;=5,"SV tarde","despues del tramo"),IF(H29&gt;=5,"no retomado en 2-8","previo")),IF(B29&lt;2,"retomado",IF(AND(C29&lt;=1,E29&gt;=3),"solo especializacion",IF(F29="","coherente",IF(F29&lt;=-1.5,"SV adelantado",IF(F29&gt;=2,"SV tarde","coherente")))))))</f>
        <v/>
      </c>
      <c r="J29">
        <f>Datos!B29</f>
        <v/>
      </c>
    </row>
    <row r="30">
      <c r="A30">
        <f>Datos!A30</f>
        <v/>
      </c>
      <c r="B30">
        <f>IF(Datos!C30="","",Datos!C30)</f>
        <v/>
      </c>
      <c r="C30">
        <f>COUNT(Datos!E30:M30)</f>
        <v/>
      </c>
      <c r="D30">
        <f>IF(C30=0,"",MEDIAN(Datos!E30:M30))</f>
        <v/>
      </c>
      <c r="E30">
        <f>COUNT(Datos!W30:AE30)</f>
        <v/>
      </c>
      <c r="F30">
        <f>IF(OR(B30="",D30=""),"",B30-D30)</f>
        <v/>
      </c>
      <c r="G30">
        <f>IF(Datos!D30="","",Datos!D30)</f>
        <v/>
      </c>
      <c r="H30">
        <f>COUNT(Datos!N30:V30)</f>
        <v/>
      </c>
      <c r="I30">
        <f>IF(B30="",IF(C30&gt;=5,"falta en SV",""),IF(G30="",IF(B30&gt;8,IF(C30&gt;=5,"SV tarde","despues del tramo"),IF(H30&gt;=5,"no retomado en 2-8","previo")),IF(B30&lt;2,"retomado",IF(AND(C30&lt;=1,E30&gt;=3),"solo especializacion",IF(F30="","coherente",IF(F30&lt;=-1.5,"SV adelantado",IF(F30&gt;=2,"SV tarde","coherente")))))))</f>
        <v/>
      </c>
      <c r="J30">
        <f>Datos!B30</f>
        <v/>
      </c>
    </row>
    <row r="31">
      <c r="A31">
        <f>Datos!A31</f>
        <v/>
      </c>
      <c r="B31">
        <f>IF(Datos!C31="","",Datos!C31)</f>
        <v/>
      </c>
      <c r="C31">
        <f>COUNT(Datos!E31:M31)</f>
        <v/>
      </c>
      <c r="D31">
        <f>IF(C31=0,"",MEDIAN(Datos!E31:M31))</f>
        <v/>
      </c>
      <c r="E31">
        <f>COUNT(Datos!W31:AE31)</f>
        <v/>
      </c>
      <c r="F31">
        <f>IF(OR(B31="",D31=""),"",B31-D31)</f>
        <v/>
      </c>
      <c r="G31">
        <f>IF(Datos!D31="","",Datos!D31)</f>
        <v/>
      </c>
      <c r="H31">
        <f>COUNT(Datos!N31:V31)</f>
        <v/>
      </c>
      <c r="I31">
        <f>IF(B31="",IF(C31&gt;=5,"falta en SV",""),IF(G31="",IF(B31&gt;8,IF(C31&gt;=5,"SV tarde","despues del tramo"),IF(H31&gt;=5,"no retomado en 2-8","previo")),IF(B31&lt;2,"retomado",IF(AND(C31&lt;=1,E31&gt;=3),"solo especializacion",IF(F31="","coherente",IF(F31&lt;=-1.5,"SV adelantado",IF(F31&gt;=2,"SV tarde","coherente")))))))</f>
        <v/>
      </c>
      <c r="J31">
        <f>Datos!B31</f>
        <v/>
      </c>
    </row>
    <row r="32">
      <c r="A32">
        <f>Datos!A32</f>
        <v/>
      </c>
      <c r="B32">
        <f>IF(Datos!C32="","",Datos!C32)</f>
        <v/>
      </c>
      <c r="C32">
        <f>COUNT(Datos!E32:M32)</f>
        <v/>
      </c>
      <c r="D32">
        <f>IF(C32=0,"",MEDIAN(Datos!E32:M32))</f>
        <v/>
      </c>
      <c r="E32">
        <f>COUNT(Datos!W32:AE32)</f>
        <v/>
      </c>
      <c r="F32">
        <f>IF(OR(B32="",D32=""),"",B32-D32)</f>
        <v/>
      </c>
      <c r="G32">
        <f>IF(Datos!D32="","",Datos!D32)</f>
        <v/>
      </c>
      <c r="H32">
        <f>COUNT(Datos!N32:V32)</f>
        <v/>
      </c>
      <c r="I32">
        <f>IF(B32="",IF(C32&gt;=5,"falta en SV",""),IF(G32="",IF(B32&gt;8,IF(C32&gt;=5,"SV tarde","despues del tramo"),IF(H32&gt;=5,"no retomado en 2-8","previo")),IF(B32&lt;2,"retomado",IF(AND(C32&lt;=1,E32&gt;=3),"solo especializacion",IF(F32="","coherente",IF(F32&lt;=-1.5,"SV adelantado",IF(F32&gt;=2,"SV tarde","coherente")))))))</f>
        <v/>
      </c>
      <c r="J32">
        <f>Datos!B32</f>
        <v/>
      </c>
    </row>
    <row r="33">
      <c r="A33">
        <f>Datos!A33</f>
        <v/>
      </c>
      <c r="B33">
        <f>IF(Datos!C33="","",Datos!C33)</f>
        <v/>
      </c>
      <c r="C33">
        <f>COUNT(Datos!E33:M33)</f>
        <v/>
      </c>
      <c r="D33">
        <f>IF(C33=0,"",MEDIAN(Datos!E33:M33))</f>
        <v/>
      </c>
      <c r="E33">
        <f>COUNT(Datos!W33:AE33)</f>
        <v/>
      </c>
      <c r="F33">
        <f>IF(OR(B33="",D33=""),"",B33-D33)</f>
        <v/>
      </c>
      <c r="G33">
        <f>IF(Datos!D33="","",Datos!D33)</f>
        <v/>
      </c>
      <c r="H33">
        <f>COUNT(Datos!N33:V33)</f>
        <v/>
      </c>
      <c r="I33">
        <f>IF(B33="",IF(C33&gt;=5,"falta en SV",""),IF(G33="",IF(B33&gt;8,IF(C33&gt;=5,"SV tarde","despues del tramo"),IF(H33&gt;=5,"no retomado en 2-8","previo")),IF(B33&lt;2,"retomado",IF(AND(C33&lt;=1,E33&gt;=3),"solo especializacion",IF(F33="","coherente",IF(F33&lt;=-1.5,"SV adelantado",IF(F33&gt;=2,"SV tarde","coherente")))))))</f>
        <v/>
      </c>
      <c r="J33">
        <f>Datos!B33</f>
        <v/>
      </c>
    </row>
    <row r="34">
      <c r="A34">
        <f>Datos!A34</f>
        <v/>
      </c>
      <c r="B34">
        <f>IF(Datos!C34="","",Datos!C34)</f>
        <v/>
      </c>
      <c r="C34">
        <f>COUNT(Datos!E34:M34)</f>
        <v/>
      </c>
      <c r="D34">
        <f>IF(C34=0,"",MEDIAN(Datos!E34:M34))</f>
        <v/>
      </c>
      <c r="E34">
        <f>COUNT(Datos!W34:AE34)</f>
        <v/>
      </c>
      <c r="F34">
        <f>IF(OR(B34="",D34=""),"",B34-D34)</f>
        <v/>
      </c>
      <c r="G34">
        <f>IF(Datos!D34="","",Datos!D34)</f>
        <v/>
      </c>
      <c r="H34">
        <f>COUNT(Datos!N34:V34)</f>
        <v/>
      </c>
      <c r="I34">
        <f>IF(B34="",IF(C34&gt;=5,"falta en SV",""),IF(G34="",IF(B34&gt;8,IF(C34&gt;=5,"SV tarde","despues del tramo"),IF(H34&gt;=5,"no retomado en 2-8","previo")),IF(B34&lt;2,"retomado",IF(AND(C34&lt;=1,E34&gt;=3),"solo especializacion",IF(F34="","coherente",IF(F34&lt;=-1.5,"SV adelantado",IF(F34&gt;=2,"SV tarde","coherente")))))))</f>
        <v/>
      </c>
      <c r="J34">
        <f>Datos!B34</f>
        <v/>
      </c>
    </row>
    <row r="35">
      <c r="A35">
        <f>Datos!A35</f>
        <v/>
      </c>
      <c r="B35">
        <f>IF(Datos!C35="","",Datos!C35)</f>
        <v/>
      </c>
      <c r="C35">
        <f>COUNT(Datos!E35:M35)</f>
        <v/>
      </c>
      <c r="D35">
        <f>IF(C35=0,"",MEDIAN(Datos!E35:M35))</f>
        <v/>
      </c>
      <c r="E35">
        <f>COUNT(Datos!W35:AE35)</f>
        <v/>
      </c>
      <c r="F35">
        <f>IF(OR(B35="",D35=""),"",B35-D35)</f>
        <v/>
      </c>
      <c r="G35">
        <f>IF(Datos!D35="","",Datos!D35)</f>
        <v/>
      </c>
      <c r="H35">
        <f>COUNT(Datos!N35:V35)</f>
        <v/>
      </c>
      <c r="I35">
        <f>IF(B35="",IF(C35&gt;=5,"falta en SV",""),IF(G35="",IF(B35&gt;8,IF(C35&gt;=5,"SV tarde","despues del tramo"),IF(H35&gt;=5,"no retomado en 2-8","previo")),IF(B35&lt;2,"retomado",IF(AND(C35&lt;=1,E35&gt;=3),"solo especializacion",IF(F35="","coherente",IF(F35&lt;=-1.5,"SV adelantado",IF(F35&gt;=2,"SV tarde","coherente")))))))</f>
        <v/>
      </c>
      <c r="J35">
        <f>Datos!B35</f>
        <v/>
      </c>
    </row>
    <row r="36">
      <c r="A36">
        <f>Datos!A36</f>
        <v/>
      </c>
      <c r="B36">
        <f>IF(Datos!C36="","",Datos!C36)</f>
        <v/>
      </c>
      <c r="C36">
        <f>COUNT(Datos!E36:M36)</f>
        <v/>
      </c>
      <c r="D36">
        <f>IF(C36=0,"",MEDIAN(Datos!E36:M36))</f>
        <v/>
      </c>
      <c r="E36">
        <f>COUNT(Datos!W36:AE36)</f>
        <v/>
      </c>
      <c r="F36">
        <f>IF(OR(B36="",D36=""),"",B36-D36)</f>
        <v/>
      </c>
      <c r="G36">
        <f>IF(Datos!D36="","",Datos!D36)</f>
        <v/>
      </c>
      <c r="H36">
        <f>COUNT(Datos!N36:V36)</f>
        <v/>
      </c>
      <c r="I36">
        <f>IF(B36="",IF(C36&gt;=5,"falta en SV",""),IF(G36="",IF(B36&gt;8,IF(C36&gt;=5,"SV tarde","despues del tramo"),IF(H36&gt;=5,"no retomado en 2-8","previo")),IF(B36&lt;2,"retomado",IF(AND(C36&lt;=1,E36&gt;=3),"solo especializacion",IF(F36="","coherente",IF(F36&lt;=-1.5,"SV adelantado",IF(F36&gt;=2,"SV tarde","coherente")))))))</f>
        <v/>
      </c>
      <c r="J36">
        <f>Datos!B36</f>
        <v/>
      </c>
    </row>
    <row r="37">
      <c r="A37">
        <f>Datos!A37</f>
        <v/>
      </c>
      <c r="B37">
        <f>IF(Datos!C37="","",Datos!C37)</f>
        <v/>
      </c>
      <c r="C37">
        <f>COUNT(Datos!E37:M37)</f>
        <v/>
      </c>
      <c r="D37">
        <f>IF(C37=0,"",MEDIAN(Datos!E37:M37))</f>
        <v/>
      </c>
      <c r="E37">
        <f>COUNT(Datos!W37:AE37)</f>
        <v/>
      </c>
      <c r="F37">
        <f>IF(OR(B37="",D37=""),"",B37-D37)</f>
        <v/>
      </c>
      <c r="G37">
        <f>IF(Datos!D37="","",Datos!D37)</f>
        <v/>
      </c>
      <c r="H37">
        <f>COUNT(Datos!N37:V37)</f>
        <v/>
      </c>
      <c r="I37">
        <f>IF(B37="",IF(C37&gt;=5,"falta en SV",""),IF(G37="",IF(B37&gt;8,IF(C37&gt;=5,"SV tarde","despues del tramo"),IF(H37&gt;=5,"no retomado en 2-8","previo")),IF(B37&lt;2,"retomado",IF(AND(C37&lt;=1,E37&gt;=3),"solo especializacion",IF(F37="","coherente",IF(F37&lt;=-1.5,"SV adelantado",IF(F37&gt;=2,"SV tarde","coherente")))))))</f>
        <v/>
      </c>
      <c r="J37">
        <f>Datos!B37</f>
        <v/>
      </c>
    </row>
    <row r="38">
      <c r="A38">
        <f>Datos!A38</f>
        <v/>
      </c>
      <c r="B38">
        <f>IF(Datos!C38="","",Datos!C38)</f>
        <v/>
      </c>
      <c r="C38">
        <f>COUNT(Datos!E38:M38)</f>
        <v/>
      </c>
      <c r="D38">
        <f>IF(C38=0,"",MEDIAN(Datos!E38:M38))</f>
        <v/>
      </c>
      <c r="E38">
        <f>COUNT(Datos!W38:AE38)</f>
        <v/>
      </c>
      <c r="F38">
        <f>IF(OR(B38="",D38=""),"",B38-D38)</f>
        <v/>
      </c>
      <c r="G38">
        <f>IF(Datos!D38="","",Datos!D38)</f>
        <v/>
      </c>
      <c r="H38">
        <f>COUNT(Datos!N38:V38)</f>
        <v/>
      </c>
      <c r="I38">
        <f>IF(B38="",IF(C38&gt;=5,"falta en SV",""),IF(G38="",IF(B38&gt;8,IF(C38&gt;=5,"SV tarde","despues del tramo"),IF(H38&gt;=5,"no retomado en 2-8","previo")),IF(B38&lt;2,"retomado",IF(AND(C38&lt;=1,E38&gt;=3),"solo especializacion",IF(F38="","coherente",IF(F38&lt;=-1.5,"SV adelantado",IF(F38&gt;=2,"SV tarde","coherente")))))))</f>
        <v/>
      </c>
      <c r="J38">
        <f>Datos!B38</f>
        <v/>
      </c>
    </row>
    <row r="39">
      <c r="A39">
        <f>Datos!A39</f>
        <v/>
      </c>
      <c r="B39">
        <f>IF(Datos!C39="","",Datos!C39)</f>
        <v/>
      </c>
      <c r="C39">
        <f>COUNT(Datos!E39:M39)</f>
        <v/>
      </c>
      <c r="D39">
        <f>IF(C39=0,"",MEDIAN(Datos!E39:M39))</f>
        <v/>
      </c>
      <c r="E39">
        <f>COUNT(Datos!W39:AE39)</f>
        <v/>
      </c>
      <c r="F39">
        <f>IF(OR(B39="",D39=""),"",B39-D39)</f>
        <v/>
      </c>
      <c r="G39">
        <f>IF(Datos!D39="","",Datos!D39)</f>
        <v/>
      </c>
      <c r="H39">
        <f>COUNT(Datos!N39:V39)</f>
        <v/>
      </c>
      <c r="I39">
        <f>IF(B39="",IF(C39&gt;=5,"falta en SV",""),IF(G39="",IF(B39&gt;8,IF(C39&gt;=5,"SV tarde","despues del tramo"),IF(H39&gt;=5,"no retomado en 2-8","previo")),IF(B39&lt;2,"retomado",IF(AND(C39&lt;=1,E39&gt;=3),"solo especializacion",IF(F39="","coherente",IF(F39&lt;=-1.5,"SV adelantado",IF(F39&gt;=2,"SV tarde","coherente")))))))</f>
        <v/>
      </c>
      <c r="J39">
        <f>Datos!B39</f>
        <v/>
      </c>
    </row>
    <row r="40">
      <c r="A40">
        <f>Datos!A40</f>
        <v/>
      </c>
      <c r="B40">
        <f>IF(Datos!C40="","",Datos!C40)</f>
        <v/>
      </c>
      <c r="C40">
        <f>COUNT(Datos!E40:M40)</f>
        <v/>
      </c>
      <c r="D40">
        <f>IF(C40=0,"",MEDIAN(Datos!E40:M40))</f>
        <v/>
      </c>
      <c r="E40">
        <f>COUNT(Datos!W40:AE40)</f>
        <v/>
      </c>
      <c r="F40">
        <f>IF(OR(B40="",D40=""),"",B40-D40)</f>
        <v/>
      </c>
      <c r="G40">
        <f>IF(Datos!D40="","",Datos!D40)</f>
        <v/>
      </c>
      <c r="H40">
        <f>COUNT(Datos!N40:V40)</f>
        <v/>
      </c>
      <c r="I40">
        <f>IF(B40="",IF(C40&gt;=5,"falta en SV",""),IF(G40="",IF(B40&gt;8,IF(C40&gt;=5,"SV tarde","despues del tramo"),IF(H40&gt;=5,"no retomado en 2-8","previo")),IF(B40&lt;2,"retomado",IF(AND(C40&lt;=1,E40&gt;=3),"solo especializacion",IF(F40="","coherente",IF(F40&lt;=-1.5,"SV adelantado",IF(F40&gt;=2,"SV tarde","coherente")))))))</f>
        <v/>
      </c>
      <c r="J40">
        <f>Datos!B40</f>
        <v/>
      </c>
    </row>
    <row r="41">
      <c r="A41">
        <f>Datos!A41</f>
        <v/>
      </c>
      <c r="B41">
        <f>IF(Datos!C41="","",Datos!C41)</f>
        <v/>
      </c>
      <c r="C41">
        <f>COUNT(Datos!E41:M41)</f>
        <v/>
      </c>
      <c r="D41">
        <f>IF(C41=0,"",MEDIAN(Datos!E41:M41))</f>
        <v/>
      </c>
      <c r="E41">
        <f>COUNT(Datos!W41:AE41)</f>
        <v/>
      </c>
      <c r="F41">
        <f>IF(OR(B41="",D41=""),"",B41-D41)</f>
        <v/>
      </c>
      <c r="G41">
        <f>IF(Datos!D41="","",Datos!D41)</f>
        <v/>
      </c>
      <c r="H41">
        <f>COUNT(Datos!N41:V41)</f>
        <v/>
      </c>
      <c r="I41">
        <f>IF(B41="",IF(C41&gt;=5,"falta en SV",""),IF(G41="",IF(B41&gt;8,IF(C41&gt;=5,"SV tarde","despues del tramo"),IF(H41&gt;=5,"no retomado en 2-8","previo")),IF(B41&lt;2,"retomado",IF(AND(C41&lt;=1,E41&gt;=3),"solo especializacion",IF(F41="","coherente",IF(F41&lt;=-1.5,"SV adelantado",IF(F41&gt;=2,"SV tarde","coherente")))))))</f>
        <v/>
      </c>
      <c r="J41">
        <f>Datos!B41</f>
        <v/>
      </c>
    </row>
    <row r="42">
      <c r="A42">
        <f>Datos!A42</f>
        <v/>
      </c>
      <c r="B42">
        <f>IF(Datos!C42="","",Datos!C42)</f>
        <v/>
      </c>
      <c r="C42">
        <f>COUNT(Datos!E42:M42)</f>
        <v/>
      </c>
      <c r="D42">
        <f>IF(C42=0,"",MEDIAN(Datos!E42:M42))</f>
        <v/>
      </c>
      <c r="E42">
        <f>COUNT(Datos!W42:AE42)</f>
        <v/>
      </c>
      <c r="F42">
        <f>IF(OR(B42="",D42=""),"",B42-D42)</f>
        <v/>
      </c>
      <c r="G42">
        <f>IF(Datos!D42="","",Datos!D42)</f>
        <v/>
      </c>
      <c r="H42">
        <f>COUNT(Datos!N42:V42)</f>
        <v/>
      </c>
      <c r="I42">
        <f>IF(B42="",IF(C42&gt;=5,"falta en SV",""),IF(G42="",IF(B42&gt;8,IF(C42&gt;=5,"SV tarde","despues del tramo"),IF(H42&gt;=5,"no retomado en 2-8","previo")),IF(B42&lt;2,"retomado",IF(AND(C42&lt;=1,E42&gt;=3),"solo especializacion",IF(F42="","coherente",IF(F42&lt;=-1.5,"SV adelantado",IF(F42&gt;=2,"SV tarde","coherente")))))))</f>
        <v/>
      </c>
      <c r="J42">
        <f>Datos!B42</f>
        <v/>
      </c>
    </row>
    <row r="43">
      <c r="A43">
        <f>Datos!A43</f>
        <v/>
      </c>
      <c r="B43">
        <f>IF(Datos!C43="","",Datos!C43)</f>
        <v/>
      </c>
      <c r="C43">
        <f>COUNT(Datos!E43:M43)</f>
        <v/>
      </c>
      <c r="D43">
        <f>IF(C43=0,"",MEDIAN(Datos!E43:M43))</f>
        <v/>
      </c>
      <c r="E43">
        <f>COUNT(Datos!W43:AE43)</f>
        <v/>
      </c>
      <c r="F43">
        <f>IF(OR(B43="",D43=""),"",B43-D43)</f>
        <v/>
      </c>
      <c r="G43">
        <f>IF(Datos!D43="","",Datos!D43)</f>
        <v/>
      </c>
      <c r="H43">
        <f>COUNT(Datos!N43:V43)</f>
        <v/>
      </c>
      <c r="I43">
        <f>IF(B43="",IF(C43&gt;=5,"falta en SV",""),IF(G43="",IF(B43&gt;8,IF(C43&gt;=5,"SV tarde","despues del tramo"),IF(H43&gt;=5,"no retomado en 2-8","previo")),IF(B43&lt;2,"retomado",IF(AND(C43&lt;=1,E43&gt;=3),"solo especializacion",IF(F43="","coherente",IF(F43&lt;=-1.5,"SV adelantado",IF(F43&gt;=2,"SV tarde","coherente")))))))</f>
        <v/>
      </c>
      <c r="J43">
        <f>Datos!B43</f>
        <v/>
      </c>
    </row>
    <row r="44">
      <c r="A44">
        <f>Datos!A44</f>
        <v/>
      </c>
      <c r="B44">
        <f>IF(Datos!C44="","",Datos!C44)</f>
        <v/>
      </c>
      <c r="C44">
        <f>COUNT(Datos!E44:M44)</f>
        <v/>
      </c>
      <c r="D44">
        <f>IF(C44=0,"",MEDIAN(Datos!E44:M44))</f>
        <v/>
      </c>
      <c r="E44">
        <f>COUNT(Datos!W44:AE44)</f>
        <v/>
      </c>
      <c r="F44">
        <f>IF(OR(B44="",D44=""),"",B44-D44)</f>
        <v/>
      </c>
      <c r="G44">
        <f>IF(Datos!D44="","",Datos!D44)</f>
        <v/>
      </c>
      <c r="H44">
        <f>COUNT(Datos!N44:V44)</f>
        <v/>
      </c>
      <c r="I44">
        <f>IF(B44="",IF(C44&gt;=5,"falta en SV",""),IF(G44="",IF(B44&gt;8,IF(C44&gt;=5,"SV tarde","despues del tramo"),IF(H44&gt;=5,"no retomado en 2-8","previo")),IF(B44&lt;2,"retomado",IF(AND(C44&lt;=1,E44&gt;=3),"solo especializacion",IF(F44="","coherente",IF(F44&lt;=-1.5,"SV adelantado",IF(F44&gt;=2,"SV tarde","coherente")))))))</f>
        <v/>
      </c>
      <c r="J44">
        <f>Datos!B44</f>
        <v/>
      </c>
    </row>
    <row r="45">
      <c r="A45">
        <f>Datos!A45</f>
        <v/>
      </c>
      <c r="B45">
        <f>IF(Datos!C45="","",Datos!C45)</f>
        <v/>
      </c>
      <c r="C45">
        <f>COUNT(Datos!E45:M45)</f>
        <v/>
      </c>
      <c r="D45">
        <f>IF(C45=0,"",MEDIAN(Datos!E45:M45))</f>
        <v/>
      </c>
      <c r="E45">
        <f>COUNT(Datos!W45:AE45)</f>
        <v/>
      </c>
      <c r="F45">
        <f>IF(OR(B45="",D45=""),"",B45-D45)</f>
        <v/>
      </c>
      <c r="G45">
        <f>IF(Datos!D45="","",Datos!D45)</f>
        <v/>
      </c>
      <c r="H45">
        <f>COUNT(Datos!N45:V45)</f>
        <v/>
      </c>
      <c r="I45">
        <f>IF(B45="",IF(C45&gt;=5,"falta en SV",""),IF(G45="",IF(B45&gt;8,IF(C45&gt;=5,"SV tarde","despues del tramo"),IF(H45&gt;=5,"no retomado en 2-8","previo")),IF(B45&lt;2,"retomado",IF(AND(C45&lt;=1,E45&gt;=3),"solo especializacion",IF(F45="","coherente",IF(F45&lt;=-1.5,"SV adelantado",IF(F45&gt;=2,"SV tarde","coherente")))))))</f>
        <v/>
      </c>
      <c r="J45">
        <f>Datos!B45</f>
        <v/>
      </c>
    </row>
    <row r="46">
      <c r="A46">
        <f>Datos!A46</f>
        <v/>
      </c>
      <c r="B46">
        <f>IF(Datos!C46="","",Datos!C46)</f>
        <v/>
      </c>
      <c r="C46">
        <f>COUNT(Datos!E46:M46)</f>
        <v/>
      </c>
      <c r="D46">
        <f>IF(C46=0,"",MEDIAN(Datos!E46:M46))</f>
        <v/>
      </c>
      <c r="E46">
        <f>COUNT(Datos!W46:AE46)</f>
        <v/>
      </c>
      <c r="F46">
        <f>IF(OR(B46="",D46=""),"",B46-D46)</f>
        <v/>
      </c>
      <c r="G46">
        <f>IF(Datos!D46="","",Datos!D46)</f>
        <v/>
      </c>
      <c r="H46">
        <f>COUNT(Datos!N46:V46)</f>
        <v/>
      </c>
      <c r="I46">
        <f>IF(B46="",IF(C46&gt;=5,"falta en SV",""),IF(G46="",IF(B46&gt;8,IF(C46&gt;=5,"SV tarde","despues del tramo"),IF(H46&gt;=5,"no retomado en 2-8","previo")),IF(B46&lt;2,"retomado",IF(AND(C46&lt;=1,E46&gt;=3),"solo especializacion",IF(F46="","coherente",IF(F46&lt;=-1.5,"SV adelantado",IF(F46&gt;=2,"SV tarde","coherente")))))))</f>
        <v/>
      </c>
      <c r="J46">
        <f>Datos!B46</f>
        <v/>
      </c>
    </row>
    <row r="47">
      <c r="A47">
        <f>Datos!A47</f>
        <v/>
      </c>
      <c r="B47">
        <f>IF(Datos!C47="","",Datos!C47)</f>
        <v/>
      </c>
      <c r="C47">
        <f>COUNT(Datos!E47:M47)</f>
        <v/>
      </c>
      <c r="D47">
        <f>IF(C47=0,"",MEDIAN(Datos!E47:M47))</f>
        <v/>
      </c>
      <c r="E47">
        <f>COUNT(Datos!W47:AE47)</f>
        <v/>
      </c>
      <c r="F47">
        <f>IF(OR(B47="",D47=""),"",B47-D47)</f>
        <v/>
      </c>
      <c r="G47">
        <f>IF(Datos!D47="","",Datos!D47)</f>
        <v/>
      </c>
      <c r="H47">
        <f>COUNT(Datos!N47:V47)</f>
        <v/>
      </c>
      <c r="I47">
        <f>IF(B47="",IF(C47&gt;=5,"falta en SV",""),IF(G47="",IF(B47&gt;8,IF(C47&gt;=5,"SV tarde","despues del tramo"),IF(H47&gt;=5,"no retomado en 2-8","previo")),IF(B47&lt;2,"retomado",IF(AND(C47&lt;=1,E47&gt;=3),"solo especializacion",IF(F47="","coherente",IF(F47&lt;=-1.5,"SV adelantado",IF(F47&gt;=2,"SV tarde","coherente")))))))</f>
        <v/>
      </c>
      <c r="J47">
        <f>Datos!B47</f>
        <v/>
      </c>
    </row>
    <row r="48">
      <c r="A48">
        <f>Datos!A48</f>
        <v/>
      </c>
      <c r="B48">
        <f>IF(Datos!C48="","",Datos!C48)</f>
        <v/>
      </c>
      <c r="C48">
        <f>COUNT(Datos!E48:M48)</f>
        <v/>
      </c>
      <c r="D48">
        <f>IF(C48=0,"",MEDIAN(Datos!E48:M48))</f>
        <v/>
      </c>
      <c r="E48">
        <f>COUNT(Datos!W48:AE48)</f>
        <v/>
      </c>
      <c r="F48">
        <f>IF(OR(B48="",D48=""),"",B48-D48)</f>
        <v/>
      </c>
      <c r="G48">
        <f>IF(Datos!D48="","",Datos!D48)</f>
        <v/>
      </c>
      <c r="H48">
        <f>COUNT(Datos!N48:V48)</f>
        <v/>
      </c>
      <c r="I48">
        <f>IF(B48="",IF(C48&gt;=5,"falta en SV",""),IF(G48="",IF(B48&gt;8,IF(C48&gt;=5,"SV tarde","despues del tramo"),IF(H48&gt;=5,"no retomado en 2-8","previo")),IF(B48&lt;2,"retomado",IF(AND(C48&lt;=1,E48&gt;=3),"solo especializacion",IF(F48="","coherente",IF(F48&lt;=-1.5,"SV adelantado",IF(F48&gt;=2,"SV tarde","coherente")))))))</f>
        <v/>
      </c>
      <c r="J48">
        <f>Datos!B48</f>
        <v/>
      </c>
    </row>
    <row r="49">
      <c r="A49">
        <f>Datos!A49</f>
        <v/>
      </c>
      <c r="B49">
        <f>IF(Datos!C49="","",Datos!C49)</f>
        <v/>
      </c>
      <c r="C49">
        <f>COUNT(Datos!E49:M49)</f>
        <v/>
      </c>
      <c r="D49">
        <f>IF(C49=0,"",MEDIAN(Datos!E49:M49))</f>
        <v/>
      </c>
      <c r="E49">
        <f>COUNT(Datos!W49:AE49)</f>
        <v/>
      </c>
      <c r="F49">
        <f>IF(OR(B49="",D49=""),"",B49-D49)</f>
        <v/>
      </c>
      <c r="G49">
        <f>IF(Datos!D49="","",Datos!D49)</f>
        <v/>
      </c>
      <c r="H49">
        <f>COUNT(Datos!N49:V49)</f>
        <v/>
      </c>
      <c r="I49">
        <f>IF(B49="",IF(C49&gt;=5,"falta en SV",""),IF(G49="",IF(B49&gt;8,IF(C49&gt;=5,"SV tarde","despues del tramo"),IF(H49&gt;=5,"no retomado en 2-8","previo")),IF(B49&lt;2,"retomado",IF(AND(C49&lt;=1,E49&gt;=3),"solo especializacion",IF(F49="","coherente",IF(F49&lt;=-1.5,"SV adelantado",IF(F49&gt;=2,"SV tarde","coherente")))))))</f>
        <v/>
      </c>
      <c r="J49">
        <f>Datos!B49</f>
        <v/>
      </c>
    </row>
    <row r="50">
      <c r="A50">
        <f>Datos!A50</f>
        <v/>
      </c>
      <c r="B50">
        <f>IF(Datos!C50="","",Datos!C50)</f>
        <v/>
      </c>
      <c r="C50">
        <f>COUNT(Datos!E50:M50)</f>
        <v/>
      </c>
      <c r="D50">
        <f>IF(C50=0,"",MEDIAN(Datos!E50:M50))</f>
        <v/>
      </c>
      <c r="E50">
        <f>COUNT(Datos!W50:AE50)</f>
        <v/>
      </c>
      <c r="F50">
        <f>IF(OR(B50="",D50=""),"",B50-D50)</f>
        <v/>
      </c>
      <c r="G50">
        <f>IF(Datos!D50="","",Datos!D50)</f>
        <v/>
      </c>
      <c r="H50">
        <f>COUNT(Datos!N50:V50)</f>
        <v/>
      </c>
      <c r="I50">
        <f>IF(B50="",IF(C50&gt;=5,"falta en SV",""),IF(G50="",IF(B50&gt;8,IF(C50&gt;=5,"SV tarde","despues del tramo"),IF(H50&gt;=5,"no retomado en 2-8","previo")),IF(B50&lt;2,"retomado",IF(AND(C50&lt;=1,E50&gt;=3),"solo especializacion",IF(F50="","coherente",IF(F50&lt;=-1.5,"SV adelantado",IF(F50&gt;=2,"SV tarde","coherente")))))))</f>
        <v/>
      </c>
      <c r="J50">
        <f>Datos!B50</f>
        <v/>
      </c>
    </row>
    <row r="51">
      <c r="A51">
        <f>Datos!A51</f>
        <v/>
      </c>
      <c r="B51">
        <f>IF(Datos!C51="","",Datos!C51)</f>
        <v/>
      </c>
      <c r="C51">
        <f>COUNT(Datos!E51:M51)</f>
        <v/>
      </c>
      <c r="D51">
        <f>IF(C51=0,"",MEDIAN(Datos!E51:M51))</f>
        <v/>
      </c>
      <c r="E51">
        <f>COUNT(Datos!W51:AE51)</f>
        <v/>
      </c>
      <c r="F51">
        <f>IF(OR(B51="",D51=""),"",B51-D51)</f>
        <v/>
      </c>
      <c r="G51">
        <f>IF(Datos!D51="","",Datos!D51)</f>
        <v/>
      </c>
      <c r="H51">
        <f>COUNT(Datos!N51:V51)</f>
        <v/>
      </c>
      <c r="I51">
        <f>IF(B51="",IF(C51&gt;=5,"falta en SV",""),IF(G51="",IF(B51&gt;8,IF(C51&gt;=5,"SV tarde","despues del tramo"),IF(H51&gt;=5,"no retomado en 2-8","previo")),IF(B51&lt;2,"retomado",IF(AND(C51&lt;=1,E51&gt;=3),"solo especializacion",IF(F51="","coherente",IF(F51&lt;=-1.5,"SV adelantado",IF(F51&gt;=2,"SV tarde","coherente")))))))</f>
        <v/>
      </c>
      <c r="J51">
        <f>Datos!B51</f>
        <v/>
      </c>
    </row>
    <row r="52">
      <c r="A52">
        <f>Datos!A52</f>
        <v/>
      </c>
      <c r="B52">
        <f>IF(Datos!C52="","",Datos!C52)</f>
        <v/>
      </c>
      <c r="C52">
        <f>COUNT(Datos!E52:M52)</f>
        <v/>
      </c>
      <c r="D52">
        <f>IF(C52=0,"",MEDIAN(Datos!E52:M52))</f>
        <v/>
      </c>
      <c r="E52">
        <f>COUNT(Datos!W52:AE52)</f>
        <v/>
      </c>
      <c r="F52">
        <f>IF(OR(B52="",D52=""),"",B52-D52)</f>
        <v/>
      </c>
      <c r="G52">
        <f>IF(Datos!D52="","",Datos!D52)</f>
        <v/>
      </c>
      <c r="H52">
        <f>COUNT(Datos!N52:V52)</f>
        <v/>
      </c>
      <c r="I52">
        <f>IF(B52="",IF(C52&gt;=5,"falta en SV",""),IF(G52="",IF(B52&gt;8,IF(C52&gt;=5,"SV tarde","despues del tramo"),IF(H52&gt;=5,"no retomado en 2-8","previo")),IF(B52&lt;2,"retomado",IF(AND(C52&lt;=1,E52&gt;=3),"solo especializacion",IF(F52="","coherente",IF(F52&lt;=-1.5,"SV adelantado",IF(F52&gt;=2,"SV tarde","coherente")))))))</f>
        <v/>
      </c>
      <c r="J52">
        <f>Datos!B52</f>
        <v/>
      </c>
    </row>
    <row r="53">
      <c r="A53">
        <f>Datos!A53</f>
        <v/>
      </c>
      <c r="B53">
        <f>IF(Datos!C53="","",Datos!C53)</f>
        <v/>
      </c>
      <c r="C53">
        <f>COUNT(Datos!E53:M53)</f>
        <v/>
      </c>
      <c r="D53">
        <f>IF(C53=0,"",MEDIAN(Datos!E53:M53))</f>
        <v/>
      </c>
      <c r="E53">
        <f>COUNT(Datos!W53:AE53)</f>
        <v/>
      </c>
      <c r="F53">
        <f>IF(OR(B53="",D53=""),"",B53-D53)</f>
        <v/>
      </c>
      <c r="G53">
        <f>IF(Datos!D53="","",Datos!D53)</f>
        <v/>
      </c>
      <c r="H53">
        <f>COUNT(Datos!N53:V53)</f>
        <v/>
      </c>
      <c r="I53">
        <f>IF(B53="",IF(C53&gt;=5,"falta en SV",""),IF(G53="",IF(B53&gt;8,IF(C53&gt;=5,"SV tarde","despues del tramo"),IF(H53&gt;=5,"no retomado en 2-8","previo")),IF(B53&lt;2,"retomado",IF(AND(C53&lt;=1,E53&gt;=3),"solo especializacion",IF(F53="","coherente",IF(F53&lt;=-1.5,"SV adelantado",IF(F53&gt;=2,"SV tarde","coherente")))))))</f>
        <v/>
      </c>
      <c r="J53">
        <f>Datos!B53</f>
        <v/>
      </c>
    </row>
    <row r="54">
      <c r="A54">
        <f>Datos!A54</f>
        <v/>
      </c>
      <c r="B54">
        <f>IF(Datos!C54="","",Datos!C54)</f>
        <v/>
      </c>
      <c r="C54">
        <f>COUNT(Datos!E54:M54)</f>
        <v/>
      </c>
      <c r="D54">
        <f>IF(C54=0,"",MEDIAN(Datos!E54:M54))</f>
        <v/>
      </c>
      <c r="E54">
        <f>COUNT(Datos!W54:AE54)</f>
        <v/>
      </c>
      <c r="F54">
        <f>IF(OR(B54="",D54=""),"",B54-D54)</f>
        <v/>
      </c>
      <c r="G54">
        <f>IF(Datos!D54="","",Datos!D54)</f>
        <v/>
      </c>
      <c r="H54">
        <f>COUNT(Datos!N54:V54)</f>
        <v/>
      </c>
      <c r="I54">
        <f>IF(B54="",IF(C54&gt;=5,"falta en SV",""),IF(G54="",IF(B54&gt;8,IF(C54&gt;=5,"SV tarde","despues del tramo"),IF(H54&gt;=5,"no retomado en 2-8","previo")),IF(B54&lt;2,"retomado",IF(AND(C54&lt;=1,E54&gt;=3),"solo especializacion",IF(F54="","coherente",IF(F54&lt;=-1.5,"SV adelantado",IF(F54&gt;=2,"SV tarde","coherente")))))))</f>
        <v/>
      </c>
      <c r="J54">
        <f>Datos!B54</f>
        <v/>
      </c>
    </row>
    <row r="55">
      <c r="A55">
        <f>Datos!A55</f>
        <v/>
      </c>
      <c r="B55">
        <f>IF(Datos!C55="","",Datos!C55)</f>
        <v/>
      </c>
      <c r="C55">
        <f>COUNT(Datos!E55:M55)</f>
        <v/>
      </c>
      <c r="D55">
        <f>IF(C55=0,"",MEDIAN(Datos!E55:M55))</f>
        <v/>
      </c>
      <c r="E55">
        <f>COUNT(Datos!W55:AE55)</f>
        <v/>
      </c>
      <c r="F55">
        <f>IF(OR(B55="",D55=""),"",B55-D55)</f>
        <v/>
      </c>
      <c r="G55">
        <f>IF(Datos!D55="","",Datos!D55)</f>
        <v/>
      </c>
      <c r="H55">
        <f>COUNT(Datos!N55:V55)</f>
        <v/>
      </c>
      <c r="I55">
        <f>IF(B55="",IF(C55&gt;=5,"falta en SV",""),IF(G55="",IF(B55&gt;8,IF(C55&gt;=5,"SV tarde","despues del tramo"),IF(H55&gt;=5,"no retomado en 2-8","previo")),IF(B55&lt;2,"retomado",IF(AND(C55&lt;=1,E55&gt;=3),"solo especializacion",IF(F55="","coherente",IF(F55&lt;=-1.5,"SV adelantado",IF(F55&gt;=2,"SV tarde","coherente")))))))</f>
        <v/>
      </c>
      <c r="J55">
        <f>Datos!B55</f>
        <v/>
      </c>
    </row>
    <row r="56">
      <c r="A56">
        <f>Datos!A56</f>
        <v/>
      </c>
      <c r="B56">
        <f>IF(Datos!C56="","",Datos!C56)</f>
        <v/>
      </c>
      <c r="C56">
        <f>COUNT(Datos!E56:M56)</f>
        <v/>
      </c>
      <c r="D56">
        <f>IF(C56=0,"",MEDIAN(Datos!E56:M56))</f>
        <v/>
      </c>
      <c r="E56">
        <f>COUNT(Datos!W56:AE56)</f>
        <v/>
      </c>
      <c r="F56">
        <f>IF(OR(B56="",D56=""),"",B56-D56)</f>
        <v/>
      </c>
      <c r="G56">
        <f>IF(Datos!D56="","",Datos!D56)</f>
        <v/>
      </c>
      <c r="H56">
        <f>COUNT(Datos!N56:V56)</f>
        <v/>
      </c>
      <c r="I56">
        <f>IF(B56="",IF(C56&gt;=5,"falta en SV",""),IF(G56="",IF(B56&gt;8,IF(C56&gt;=5,"SV tarde","despues del tramo"),IF(H56&gt;=5,"no retomado en 2-8","previo")),IF(B56&lt;2,"retomado",IF(AND(C56&lt;=1,E56&gt;=3),"solo especializacion",IF(F56="","coherente",IF(F56&lt;=-1.5,"SV adelantado",IF(F56&gt;=2,"SV tarde","coherente")))))))</f>
        <v/>
      </c>
      <c r="J56">
        <f>Datos!B56</f>
        <v/>
      </c>
    </row>
    <row r="57">
      <c r="A57">
        <f>Datos!A57</f>
        <v/>
      </c>
      <c r="B57">
        <f>IF(Datos!C57="","",Datos!C57)</f>
        <v/>
      </c>
      <c r="C57">
        <f>COUNT(Datos!E57:M57)</f>
        <v/>
      </c>
      <c r="D57">
        <f>IF(C57=0,"",MEDIAN(Datos!E57:M57))</f>
        <v/>
      </c>
      <c r="E57">
        <f>COUNT(Datos!W57:AE57)</f>
        <v/>
      </c>
      <c r="F57">
        <f>IF(OR(B57="",D57=""),"",B57-D57)</f>
        <v/>
      </c>
      <c r="G57">
        <f>IF(Datos!D57="","",Datos!D57)</f>
        <v/>
      </c>
      <c r="H57">
        <f>COUNT(Datos!N57:V57)</f>
        <v/>
      </c>
      <c r="I57">
        <f>IF(B57="",IF(C57&gt;=5,"falta en SV",""),IF(G57="",IF(B57&gt;8,IF(C57&gt;=5,"SV tarde","despues del tramo"),IF(H57&gt;=5,"no retomado en 2-8","previo")),IF(B57&lt;2,"retomado",IF(AND(C57&lt;=1,E57&gt;=3),"solo especializacion",IF(F57="","coherente",IF(F57&lt;=-1.5,"SV adelantado",IF(F57&gt;=2,"SV tarde","coherente")))))))</f>
        <v/>
      </c>
      <c r="J57">
        <f>Datos!B57</f>
        <v/>
      </c>
    </row>
    <row r="58">
      <c r="A58">
        <f>Datos!A58</f>
        <v/>
      </c>
      <c r="B58">
        <f>IF(Datos!C58="","",Datos!C58)</f>
        <v/>
      </c>
      <c r="C58">
        <f>COUNT(Datos!E58:M58)</f>
        <v/>
      </c>
      <c r="D58">
        <f>IF(C58=0,"",MEDIAN(Datos!E58:M58))</f>
        <v/>
      </c>
      <c r="E58">
        <f>COUNT(Datos!W58:AE58)</f>
        <v/>
      </c>
      <c r="F58">
        <f>IF(OR(B58="",D58=""),"",B58-D58)</f>
        <v/>
      </c>
      <c r="G58">
        <f>IF(Datos!D58="","",Datos!D58)</f>
        <v/>
      </c>
      <c r="H58">
        <f>COUNT(Datos!N58:V58)</f>
        <v/>
      </c>
      <c r="I58">
        <f>IF(B58="",IF(C58&gt;=5,"falta en SV",""),IF(G58="",IF(B58&gt;8,IF(C58&gt;=5,"SV tarde","despues del tramo"),IF(H58&gt;=5,"no retomado en 2-8","previo")),IF(B58&lt;2,"retomado",IF(AND(C58&lt;=1,E58&gt;=3),"solo especializacion",IF(F58="","coherente",IF(F58&lt;=-1.5,"SV adelantado",IF(F58&gt;=2,"SV tarde","coherente")))))))</f>
        <v/>
      </c>
      <c r="J58">
        <f>Datos!B58</f>
        <v/>
      </c>
    </row>
    <row r="59">
      <c r="A59">
        <f>Datos!A59</f>
        <v/>
      </c>
      <c r="B59">
        <f>IF(Datos!C59="","",Datos!C59)</f>
        <v/>
      </c>
      <c r="C59">
        <f>COUNT(Datos!E59:M59)</f>
        <v/>
      </c>
      <c r="D59">
        <f>IF(C59=0,"",MEDIAN(Datos!E59:M59))</f>
        <v/>
      </c>
      <c r="E59">
        <f>COUNT(Datos!W59:AE59)</f>
        <v/>
      </c>
      <c r="F59">
        <f>IF(OR(B59="",D59=""),"",B59-D59)</f>
        <v/>
      </c>
      <c r="G59">
        <f>IF(Datos!D59="","",Datos!D59)</f>
        <v/>
      </c>
      <c r="H59">
        <f>COUNT(Datos!N59:V59)</f>
        <v/>
      </c>
      <c r="I59">
        <f>IF(B59="",IF(C59&gt;=5,"falta en SV",""),IF(G59="",IF(B59&gt;8,IF(C59&gt;=5,"SV tarde","despues del tramo"),IF(H59&gt;=5,"no retomado en 2-8","previo")),IF(B59&lt;2,"retomado",IF(AND(C59&lt;=1,E59&gt;=3),"solo especializacion",IF(F59="","coherente",IF(F59&lt;=-1.5,"SV adelantado",IF(F59&gt;=2,"SV tarde","coherente")))))))</f>
        <v/>
      </c>
      <c r="J59">
        <f>Datos!B59</f>
        <v/>
      </c>
    </row>
    <row r="60">
      <c r="A60">
        <f>Datos!A60</f>
        <v/>
      </c>
      <c r="B60">
        <f>IF(Datos!C60="","",Datos!C60)</f>
        <v/>
      </c>
      <c r="C60">
        <f>COUNT(Datos!E60:M60)</f>
        <v/>
      </c>
      <c r="D60">
        <f>IF(C60=0,"",MEDIAN(Datos!E60:M60))</f>
        <v/>
      </c>
      <c r="E60">
        <f>COUNT(Datos!W60:AE60)</f>
        <v/>
      </c>
      <c r="F60">
        <f>IF(OR(B60="",D60=""),"",B60-D60)</f>
        <v/>
      </c>
      <c r="G60">
        <f>IF(Datos!D60="","",Datos!D60)</f>
        <v/>
      </c>
      <c r="H60">
        <f>COUNT(Datos!N60:V60)</f>
        <v/>
      </c>
      <c r="I60">
        <f>IF(B60="",IF(C60&gt;=5,"falta en SV",""),IF(G60="",IF(B60&gt;8,IF(C60&gt;=5,"SV tarde","despues del tramo"),IF(H60&gt;=5,"no retomado en 2-8","previo")),IF(B60&lt;2,"retomado",IF(AND(C60&lt;=1,E60&gt;=3),"solo especializacion",IF(F60="","coherente",IF(F60&lt;=-1.5,"SV adelantado",IF(F60&gt;=2,"SV tarde","coherente")))))))</f>
        <v/>
      </c>
      <c r="J60">
        <f>Datos!B60</f>
        <v/>
      </c>
    </row>
    <row r="61">
      <c r="A61">
        <f>Datos!A61</f>
        <v/>
      </c>
      <c r="B61">
        <f>IF(Datos!C61="","",Datos!C61)</f>
        <v/>
      </c>
      <c r="C61">
        <f>COUNT(Datos!E61:M61)</f>
        <v/>
      </c>
      <c r="D61">
        <f>IF(C61=0,"",MEDIAN(Datos!E61:M61))</f>
        <v/>
      </c>
      <c r="E61">
        <f>COUNT(Datos!W61:AE61)</f>
        <v/>
      </c>
      <c r="F61">
        <f>IF(OR(B61="",D61=""),"",B61-D61)</f>
        <v/>
      </c>
      <c r="G61">
        <f>IF(Datos!D61="","",Datos!D61)</f>
        <v/>
      </c>
      <c r="H61">
        <f>COUNT(Datos!N61:V61)</f>
        <v/>
      </c>
      <c r="I61">
        <f>IF(B61="",IF(C61&gt;=5,"falta en SV",""),IF(G61="",IF(B61&gt;8,IF(C61&gt;=5,"SV tarde","despues del tramo"),IF(H61&gt;=5,"no retomado en 2-8","previo")),IF(B61&lt;2,"retomado",IF(AND(C61&lt;=1,E61&gt;=3),"solo especializacion",IF(F61="","coherente",IF(F61&lt;=-1.5,"SV adelantado",IF(F61&gt;=2,"SV tarde","coherente")))))))</f>
        <v/>
      </c>
      <c r="J61">
        <f>Datos!B61</f>
        <v/>
      </c>
    </row>
    <row r="62">
      <c r="A62">
        <f>Datos!A62</f>
        <v/>
      </c>
      <c r="B62">
        <f>IF(Datos!C62="","",Datos!C62)</f>
        <v/>
      </c>
      <c r="C62">
        <f>COUNT(Datos!E62:M62)</f>
        <v/>
      </c>
      <c r="D62">
        <f>IF(C62=0,"",MEDIAN(Datos!E62:M62))</f>
        <v/>
      </c>
      <c r="E62">
        <f>COUNT(Datos!W62:AE62)</f>
        <v/>
      </c>
      <c r="F62">
        <f>IF(OR(B62="",D62=""),"",B62-D62)</f>
        <v/>
      </c>
      <c r="G62">
        <f>IF(Datos!D62="","",Datos!D62)</f>
        <v/>
      </c>
      <c r="H62">
        <f>COUNT(Datos!N62:V62)</f>
        <v/>
      </c>
      <c r="I62">
        <f>IF(B62="",IF(C62&gt;=5,"falta en SV",""),IF(G62="",IF(B62&gt;8,IF(C62&gt;=5,"SV tarde","despues del tramo"),IF(H62&gt;=5,"no retomado en 2-8","previo")),IF(B62&lt;2,"retomado",IF(AND(C62&lt;=1,E62&gt;=3),"solo especializacion",IF(F62="","coherente",IF(F62&lt;=-1.5,"SV adelantado",IF(F62&gt;=2,"SV tarde","coherente")))))))</f>
        <v/>
      </c>
      <c r="J62">
        <f>Datos!B62</f>
        <v/>
      </c>
    </row>
    <row r="63">
      <c r="A63">
        <f>Datos!A63</f>
        <v/>
      </c>
      <c r="B63">
        <f>IF(Datos!C63="","",Datos!C63)</f>
        <v/>
      </c>
      <c r="C63">
        <f>COUNT(Datos!E63:M63)</f>
        <v/>
      </c>
      <c r="D63">
        <f>IF(C63=0,"",MEDIAN(Datos!E63:M63))</f>
        <v/>
      </c>
      <c r="E63">
        <f>COUNT(Datos!W63:AE63)</f>
        <v/>
      </c>
      <c r="F63">
        <f>IF(OR(B63="",D63=""),"",B63-D63)</f>
        <v/>
      </c>
      <c r="G63">
        <f>IF(Datos!D63="","",Datos!D63)</f>
        <v/>
      </c>
      <c r="H63">
        <f>COUNT(Datos!N63:V63)</f>
        <v/>
      </c>
      <c r="I63">
        <f>IF(B63="",IF(C63&gt;=5,"falta en SV",""),IF(G63="",IF(B63&gt;8,IF(C63&gt;=5,"SV tarde","despues del tramo"),IF(H63&gt;=5,"no retomado en 2-8","previo")),IF(B63&lt;2,"retomado",IF(AND(C63&lt;=1,E63&gt;=3),"solo especializacion",IF(F63="","coherente",IF(F63&lt;=-1.5,"SV adelantado",IF(F63&gt;=2,"SV tarde","coherente")))))))</f>
        <v/>
      </c>
      <c r="J63">
        <f>Datos!B63</f>
        <v/>
      </c>
    </row>
    <row r="64">
      <c r="A64">
        <f>Datos!A64</f>
        <v/>
      </c>
      <c r="B64">
        <f>IF(Datos!C64="","",Datos!C64)</f>
        <v/>
      </c>
      <c r="C64">
        <f>COUNT(Datos!E64:M64)</f>
        <v/>
      </c>
      <c r="D64">
        <f>IF(C64=0,"",MEDIAN(Datos!E64:M64))</f>
        <v/>
      </c>
      <c r="E64">
        <f>COUNT(Datos!W64:AE64)</f>
        <v/>
      </c>
      <c r="F64">
        <f>IF(OR(B64="",D64=""),"",B64-D64)</f>
        <v/>
      </c>
      <c r="G64">
        <f>IF(Datos!D64="","",Datos!D64)</f>
        <v/>
      </c>
      <c r="H64">
        <f>COUNT(Datos!N64:V64)</f>
        <v/>
      </c>
      <c r="I64">
        <f>IF(B64="",IF(C64&gt;=5,"falta en SV",""),IF(G64="",IF(B64&gt;8,IF(C64&gt;=5,"SV tarde","despues del tramo"),IF(H64&gt;=5,"no retomado en 2-8","previo")),IF(B64&lt;2,"retomado",IF(AND(C64&lt;=1,E64&gt;=3),"solo especializacion",IF(F64="","coherente",IF(F64&lt;=-1.5,"SV adelantado",IF(F64&gt;=2,"SV tarde","coherente")))))))</f>
        <v/>
      </c>
      <c r="J64">
        <f>Datos!B64</f>
        <v/>
      </c>
    </row>
    <row r="65">
      <c r="A65">
        <f>Datos!A65</f>
        <v/>
      </c>
      <c r="B65">
        <f>IF(Datos!C65="","",Datos!C65)</f>
        <v/>
      </c>
      <c r="C65">
        <f>COUNT(Datos!E65:M65)</f>
        <v/>
      </c>
      <c r="D65">
        <f>IF(C65=0,"",MEDIAN(Datos!E65:M65))</f>
        <v/>
      </c>
      <c r="E65">
        <f>COUNT(Datos!W65:AE65)</f>
        <v/>
      </c>
      <c r="F65">
        <f>IF(OR(B65="",D65=""),"",B65-D65)</f>
        <v/>
      </c>
      <c r="G65">
        <f>IF(Datos!D65="","",Datos!D65)</f>
        <v/>
      </c>
      <c r="H65">
        <f>COUNT(Datos!N65:V65)</f>
        <v/>
      </c>
      <c r="I65">
        <f>IF(B65="",IF(C65&gt;=5,"falta en SV",""),IF(G65="",IF(B65&gt;8,IF(C65&gt;=5,"SV tarde","despues del tramo"),IF(H65&gt;=5,"no retomado en 2-8","previo")),IF(B65&lt;2,"retomado",IF(AND(C65&lt;=1,E65&gt;=3),"solo especializacion",IF(F65="","coherente",IF(F65&lt;=-1.5,"SV adelantado",IF(F65&gt;=2,"SV tarde","coherente")))))))</f>
        <v/>
      </c>
      <c r="J65">
        <f>Datos!B65</f>
        <v/>
      </c>
    </row>
    <row r="66">
      <c r="A66">
        <f>Datos!A66</f>
        <v/>
      </c>
      <c r="B66">
        <f>IF(Datos!C66="","",Datos!C66)</f>
        <v/>
      </c>
      <c r="C66">
        <f>COUNT(Datos!E66:M66)</f>
        <v/>
      </c>
      <c r="D66">
        <f>IF(C66=0,"",MEDIAN(Datos!E66:M66))</f>
        <v/>
      </c>
      <c r="E66">
        <f>COUNT(Datos!W66:AE66)</f>
        <v/>
      </c>
      <c r="F66">
        <f>IF(OR(B66="",D66=""),"",B66-D66)</f>
        <v/>
      </c>
      <c r="G66">
        <f>IF(Datos!D66="","",Datos!D66)</f>
        <v/>
      </c>
      <c r="H66">
        <f>COUNT(Datos!N66:V66)</f>
        <v/>
      </c>
      <c r="I66">
        <f>IF(B66="",IF(C66&gt;=5,"falta en SV",""),IF(G66="",IF(B66&gt;8,IF(C66&gt;=5,"SV tarde","despues del tramo"),IF(H66&gt;=5,"no retomado en 2-8","previo")),IF(B66&lt;2,"retomado",IF(AND(C66&lt;=1,E66&gt;=3),"solo especializacion",IF(F66="","coherente",IF(F66&lt;=-1.5,"SV adelantado",IF(F66&gt;=2,"SV tarde","coherente")))))))</f>
        <v/>
      </c>
      <c r="J66">
        <f>Datos!B66</f>
        <v/>
      </c>
    </row>
    <row r="67">
      <c r="A67">
        <f>Datos!A67</f>
        <v/>
      </c>
      <c r="B67">
        <f>IF(Datos!C67="","",Datos!C67)</f>
        <v/>
      </c>
      <c r="C67">
        <f>COUNT(Datos!E67:M67)</f>
        <v/>
      </c>
      <c r="D67">
        <f>IF(C67=0,"",MEDIAN(Datos!E67:M67))</f>
        <v/>
      </c>
      <c r="E67">
        <f>COUNT(Datos!W67:AE67)</f>
        <v/>
      </c>
      <c r="F67">
        <f>IF(OR(B67="",D67=""),"",B67-D67)</f>
        <v/>
      </c>
      <c r="G67">
        <f>IF(Datos!D67="","",Datos!D67)</f>
        <v/>
      </c>
      <c r="H67">
        <f>COUNT(Datos!N67:V67)</f>
        <v/>
      </c>
      <c r="I67">
        <f>IF(B67="",IF(C67&gt;=5,"falta en SV",""),IF(G67="",IF(B67&gt;8,IF(C67&gt;=5,"SV tarde","despues del tramo"),IF(H67&gt;=5,"no retomado en 2-8","previo")),IF(B67&lt;2,"retomado",IF(AND(C67&lt;=1,E67&gt;=3),"solo especializacion",IF(F67="","coherente",IF(F67&lt;=-1.5,"SV adelantado",IF(F67&gt;=2,"SV tarde","coherente")))))))</f>
        <v/>
      </c>
      <c r="J67">
        <f>Datos!B67</f>
        <v/>
      </c>
    </row>
    <row r="68">
      <c r="A68">
        <f>Datos!A68</f>
        <v/>
      </c>
      <c r="B68">
        <f>IF(Datos!C68="","",Datos!C68)</f>
        <v/>
      </c>
      <c r="C68">
        <f>COUNT(Datos!E68:M68)</f>
        <v/>
      </c>
      <c r="D68">
        <f>IF(C68=0,"",MEDIAN(Datos!E68:M68))</f>
        <v/>
      </c>
      <c r="E68">
        <f>COUNT(Datos!W68:AE68)</f>
        <v/>
      </c>
      <c r="F68">
        <f>IF(OR(B68="",D68=""),"",B68-D68)</f>
        <v/>
      </c>
      <c r="G68">
        <f>IF(Datos!D68="","",Datos!D68)</f>
        <v/>
      </c>
      <c r="H68">
        <f>COUNT(Datos!N68:V68)</f>
        <v/>
      </c>
      <c r="I68">
        <f>IF(B68="",IF(C68&gt;=5,"falta en SV",""),IF(G68="",IF(B68&gt;8,IF(C68&gt;=5,"SV tarde","despues del tramo"),IF(H68&gt;=5,"no retomado en 2-8","previo")),IF(B68&lt;2,"retomado",IF(AND(C68&lt;=1,E68&gt;=3),"solo especializacion",IF(F68="","coherente",IF(F68&lt;=-1.5,"SV adelantado",IF(F68&gt;=2,"SV tarde","coherente")))))))</f>
        <v/>
      </c>
      <c r="J68">
        <f>Datos!B68</f>
        <v/>
      </c>
    </row>
    <row r="69">
      <c r="A69">
        <f>Datos!A69</f>
        <v/>
      </c>
      <c r="B69">
        <f>IF(Datos!C69="","",Datos!C69)</f>
        <v/>
      </c>
      <c r="C69">
        <f>COUNT(Datos!E69:M69)</f>
        <v/>
      </c>
      <c r="D69">
        <f>IF(C69=0,"",MEDIAN(Datos!E69:M69))</f>
        <v/>
      </c>
      <c r="E69">
        <f>COUNT(Datos!W69:AE69)</f>
        <v/>
      </c>
      <c r="F69">
        <f>IF(OR(B69="",D69=""),"",B69-D69)</f>
        <v/>
      </c>
      <c r="G69">
        <f>IF(Datos!D69="","",Datos!D69)</f>
        <v/>
      </c>
      <c r="H69">
        <f>COUNT(Datos!N69:V69)</f>
        <v/>
      </c>
      <c r="I69">
        <f>IF(B69="",IF(C69&gt;=5,"falta en SV",""),IF(G69="",IF(B69&gt;8,IF(C69&gt;=5,"SV tarde","despues del tramo"),IF(H69&gt;=5,"no retomado en 2-8","previo")),IF(B69&lt;2,"retomado",IF(AND(C69&lt;=1,E69&gt;=3),"solo especializacion",IF(F69="","coherente",IF(F69&lt;=-1.5,"SV adelantado",IF(F69&gt;=2,"SV tarde","coherente")))))))</f>
        <v/>
      </c>
      <c r="J69">
        <f>Datos!B69</f>
        <v/>
      </c>
    </row>
    <row r="70">
      <c r="A70">
        <f>Datos!A70</f>
        <v/>
      </c>
      <c r="B70">
        <f>IF(Datos!C70="","",Datos!C70)</f>
        <v/>
      </c>
      <c r="C70">
        <f>COUNT(Datos!E70:M70)</f>
        <v/>
      </c>
      <c r="D70">
        <f>IF(C70=0,"",MEDIAN(Datos!E70:M70))</f>
        <v/>
      </c>
      <c r="E70">
        <f>COUNT(Datos!W70:AE70)</f>
        <v/>
      </c>
      <c r="F70">
        <f>IF(OR(B70="",D70=""),"",B70-D70)</f>
        <v/>
      </c>
      <c r="G70">
        <f>IF(Datos!D70="","",Datos!D70)</f>
        <v/>
      </c>
      <c r="H70">
        <f>COUNT(Datos!N70:V70)</f>
        <v/>
      </c>
      <c r="I70">
        <f>IF(B70="",IF(C70&gt;=5,"falta en SV",""),IF(G70="",IF(B70&gt;8,IF(C70&gt;=5,"SV tarde","despues del tramo"),IF(H70&gt;=5,"no retomado en 2-8","previo")),IF(B70&lt;2,"retomado",IF(AND(C70&lt;=1,E70&gt;=3),"solo especializacion",IF(F70="","coherente",IF(F70&lt;=-1.5,"SV adelantado",IF(F70&gt;=2,"SV tarde","coherente")))))))</f>
        <v/>
      </c>
      <c r="J70">
        <f>Datos!B70</f>
        <v/>
      </c>
    </row>
    <row r="71">
      <c r="A71">
        <f>Datos!A71</f>
        <v/>
      </c>
      <c r="B71">
        <f>IF(Datos!C71="","",Datos!C71)</f>
        <v/>
      </c>
      <c r="C71">
        <f>COUNT(Datos!E71:M71)</f>
        <v/>
      </c>
      <c r="D71">
        <f>IF(C71=0,"",MEDIAN(Datos!E71:M71))</f>
        <v/>
      </c>
      <c r="E71">
        <f>COUNT(Datos!W71:AE71)</f>
        <v/>
      </c>
      <c r="F71">
        <f>IF(OR(B71="",D71=""),"",B71-D71)</f>
        <v/>
      </c>
      <c r="G71">
        <f>IF(Datos!D71="","",Datos!D71)</f>
        <v/>
      </c>
      <c r="H71">
        <f>COUNT(Datos!N71:V71)</f>
        <v/>
      </c>
      <c r="I71">
        <f>IF(B71="",IF(C71&gt;=5,"falta en SV",""),IF(G71="",IF(B71&gt;8,IF(C71&gt;=5,"SV tarde","despues del tramo"),IF(H71&gt;=5,"no retomado en 2-8","previo")),IF(B71&lt;2,"retomado",IF(AND(C71&lt;=1,E71&gt;=3),"solo especializacion",IF(F71="","coherente",IF(F71&lt;=-1.5,"SV adelantado",IF(F71&gt;=2,"SV tarde","coherente")))))))</f>
        <v/>
      </c>
      <c r="J71">
        <f>Datos!B71</f>
        <v/>
      </c>
    </row>
    <row r="72">
      <c r="A72">
        <f>Datos!A72</f>
        <v/>
      </c>
      <c r="B72">
        <f>IF(Datos!C72="","",Datos!C72)</f>
        <v/>
      </c>
      <c r="C72">
        <f>COUNT(Datos!E72:M72)</f>
        <v/>
      </c>
      <c r="D72">
        <f>IF(C72=0,"",MEDIAN(Datos!E72:M72))</f>
        <v/>
      </c>
      <c r="E72">
        <f>COUNT(Datos!W72:AE72)</f>
        <v/>
      </c>
      <c r="F72">
        <f>IF(OR(B72="",D72=""),"",B72-D72)</f>
        <v/>
      </c>
      <c r="G72">
        <f>IF(Datos!D72="","",Datos!D72)</f>
        <v/>
      </c>
      <c r="H72">
        <f>COUNT(Datos!N72:V72)</f>
        <v/>
      </c>
      <c r="I72">
        <f>IF(B72="",IF(C72&gt;=5,"falta en SV",""),IF(G72="",IF(B72&gt;8,IF(C72&gt;=5,"SV tarde","despues del tramo"),IF(H72&gt;=5,"no retomado en 2-8","previo")),IF(B72&lt;2,"retomado",IF(AND(C72&lt;=1,E72&gt;=3),"solo especializacion",IF(F72="","coherente",IF(F72&lt;=-1.5,"SV adelantado",IF(F72&gt;=2,"SV tarde","coherente")))))))</f>
        <v/>
      </c>
      <c r="J72">
        <f>Datos!B72</f>
        <v/>
      </c>
    </row>
    <row r="73">
      <c r="A73">
        <f>Datos!A73</f>
        <v/>
      </c>
      <c r="B73">
        <f>IF(Datos!C73="","",Datos!C73)</f>
        <v/>
      </c>
      <c r="C73">
        <f>COUNT(Datos!E73:M73)</f>
        <v/>
      </c>
      <c r="D73">
        <f>IF(C73=0,"",MEDIAN(Datos!E73:M73))</f>
        <v/>
      </c>
      <c r="E73">
        <f>COUNT(Datos!W73:AE73)</f>
        <v/>
      </c>
      <c r="F73">
        <f>IF(OR(B73="",D73=""),"",B73-D73)</f>
        <v/>
      </c>
      <c r="G73">
        <f>IF(Datos!D73="","",Datos!D73)</f>
        <v/>
      </c>
      <c r="H73">
        <f>COUNT(Datos!N73:V73)</f>
        <v/>
      </c>
      <c r="I73">
        <f>IF(B73="",IF(C73&gt;=5,"falta en SV",""),IF(G73="",IF(B73&gt;8,IF(C73&gt;=5,"SV tarde","despues del tramo"),IF(H73&gt;=5,"no retomado en 2-8","previo")),IF(B73&lt;2,"retomado",IF(AND(C73&lt;=1,E73&gt;=3),"solo especializacion",IF(F73="","coherente",IF(F73&lt;=-1.5,"SV adelantado",IF(F73&gt;=2,"SV tarde","coherente")))))))</f>
        <v/>
      </c>
      <c r="J73">
        <f>Datos!B73</f>
        <v/>
      </c>
    </row>
    <row r="74">
      <c r="A74">
        <f>Datos!A74</f>
        <v/>
      </c>
      <c r="B74">
        <f>IF(Datos!C74="","",Datos!C74)</f>
        <v/>
      </c>
      <c r="C74">
        <f>COUNT(Datos!E74:M74)</f>
        <v/>
      </c>
      <c r="D74">
        <f>IF(C74=0,"",MEDIAN(Datos!E74:M74))</f>
        <v/>
      </c>
      <c r="E74">
        <f>COUNT(Datos!W74:AE74)</f>
        <v/>
      </c>
      <c r="F74">
        <f>IF(OR(B74="",D74=""),"",B74-D74)</f>
        <v/>
      </c>
      <c r="G74">
        <f>IF(Datos!D74="","",Datos!D74)</f>
        <v/>
      </c>
      <c r="H74">
        <f>COUNT(Datos!N74:V74)</f>
        <v/>
      </c>
      <c r="I74">
        <f>IF(B74="",IF(C74&gt;=5,"falta en SV",""),IF(G74="",IF(B74&gt;8,IF(C74&gt;=5,"SV tarde","despues del tramo"),IF(H74&gt;=5,"no retomado en 2-8","previo")),IF(B74&lt;2,"retomado",IF(AND(C74&lt;=1,E74&gt;=3),"solo especializacion",IF(F74="","coherente",IF(F74&lt;=-1.5,"SV adelantado",IF(F74&gt;=2,"SV tarde","coherente")))))))</f>
        <v/>
      </c>
      <c r="J74">
        <f>Datos!B74</f>
        <v/>
      </c>
    </row>
    <row r="75">
      <c r="A75">
        <f>Datos!A75</f>
        <v/>
      </c>
      <c r="B75">
        <f>IF(Datos!C75="","",Datos!C75)</f>
        <v/>
      </c>
      <c r="C75">
        <f>COUNT(Datos!E75:M75)</f>
        <v/>
      </c>
      <c r="D75">
        <f>IF(C75=0,"",MEDIAN(Datos!E75:M75))</f>
        <v/>
      </c>
      <c r="E75">
        <f>COUNT(Datos!W75:AE75)</f>
        <v/>
      </c>
      <c r="F75">
        <f>IF(OR(B75="",D75=""),"",B75-D75)</f>
        <v/>
      </c>
      <c r="G75">
        <f>IF(Datos!D75="","",Datos!D75)</f>
        <v/>
      </c>
      <c r="H75">
        <f>COUNT(Datos!N75:V75)</f>
        <v/>
      </c>
      <c r="I75">
        <f>IF(B75="",IF(C75&gt;=5,"falta en SV",""),IF(G75="",IF(B75&gt;8,IF(C75&gt;=5,"SV tarde","despues del tramo"),IF(H75&gt;=5,"no retomado en 2-8","previo")),IF(B75&lt;2,"retomado",IF(AND(C75&lt;=1,E75&gt;=3),"solo especializacion",IF(F75="","coherente",IF(F75&lt;=-1.5,"SV adelantado",IF(F75&gt;=2,"SV tarde","coherente")))))))</f>
        <v/>
      </c>
      <c r="J75">
        <f>Datos!B75</f>
        <v/>
      </c>
    </row>
    <row r="76">
      <c r="A76">
        <f>Datos!A76</f>
        <v/>
      </c>
      <c r="B76">
        <f>IF(Datos!C76="","",Datos!C76)</f>
        <v/>
      </c>
      <c r="C76">
        <f>COUNT(Datos!E76:M76)</f>
        <v/>
      </c>
      <c r="D76">
        <f>IF(C76=0,"",MEDIAN(Datos!E76:M76))</f>
        <v/>
      </c>
      <c r="E76">
        <f>COUNT(Datos!W76:AE76)</f>
        <v/>
      </c>
      <c r="F76">
        <f>IF(OR(B76="",D76=""),"",B76-D76)</f>
        <v/>
      </c>
      <c r="G76">
        <f>IF(Datos!D76="","",Datos!D76)</f>
        <v/>
      </c>
      <c r="H76">
        <f>COUNT(Datos!N76:V76)</f>
        <v/>
      </c>
      <c r="I76">
        <f>IF(B76="",IF(C76&gt;=5,"falta en SV",""),IF(G76="",IF(B76&gt;8,IF(C76&gt;=5,"SV tarde","despues del tramo"),IF(H76&gt;=5,"no retomado en 2-8","previo")),IF(B76&lt;2,"retomado",IF(AND(C76&lt;=1,E76&gt;=3),"solo especializacion",IF(F76="","coherente",IF(F76&lt;=-1.5,"SV adelantado",IF(F76&gt;=2,"SV tarde","coherente")))))))</f>
        <v/>
      </c>
      <c r="J76">
        <f>Datos!B76</f>
        <v/>
      </c>
    </row>
    <row r="77">
      <c r="A77">
        <f>Datos!A77</f>
        <v/>
      </c>
      <c r="B77">
        <f>IF(Datos!C77="","",Datos!C77)</f>
        <v/>
      </c>
      <c r="C77">
        <f>COUNT(Datos!E77:M77)</f>
        <v/>
      </c>
      <c r="D77">
        <f>IF(C77=0,"",MEDIAN(Datos!E77:M77))</f>
        <v/>
      </c>
      <c r="E77">
        <f>COUNT(Datos!W77:AE77)</f>
        <v/>
      </c>
      <c r="F77">
        <f>IF(OR(B77="",D77=""),"",B77-D77)</f>
        <v/>
      </c>
      <c r="G77">
        <f>IF(Datos!D77="","",Datos!D77)</f>
        <v/>
      </c>
      <c r="H77">
        <f>COUNT(Datos!N77:V77)</f>
        <v/>
      </c>
      <c r="I77">
        <f>IF(B77="",IF(C77&gt;=5,"falta en SV",""),IF(G77="",IF(B77&gt;8,IF(C77&gt;=5,"SV tarde","despues del tramo"),IF(H77&gt;=5,"no retomado en 2-8","previo")),IF(B77&lt;2,"retomado",IF(AND(C77&lt;=1,E77&gt;=3),"solo especializacion",IF(F77="","coherente",IF(F77&lt;=-1.5,"SV adelantado",IF(F77&gt;=2,"SV tarde","coherente")))))))</f>
        <v/>
      </c>
      <c r="J77">
        <f>Datos!B77</f>
        <v/>
      </c>
    </row>
    <row r="78">
      <c r="A78">
        <f>Datos!A78</f>
        <v/>
      </c>
      <c r="B78">
        <f>IF(Datos!C78="","",Datos!C78)</f>
        <v/>
      </c>
      <c r="C78">
        <f>COUNT(Datos!E78:M78)</f>
        <v/>
      </c>
      <c r="D78">
        <f>IF(C78=0,"",MEDIAN(Datos!E78:M78))</f>
        <v/>
      </c>
      <c r="E78">
        <f>COUNT(Datos!W78:AE78)</f>
        <v/>
      </c>
      <c r="F78">
        <f>IF(OR(B78="",D78=""),"",B78-D78)</f>
        <v/>
      </c>
      <c r="G78">
        <f>IF(Datos!D78="","",Datos!D78)</f>
        <v/>
      </c>
      <c r="H78">
        <f>COUNT(Datos!N78:V78)</f>
        <v/>
      </c>
      <c r="I78">
        <f>IF(B78="",IF(C78&gt;=5,"falta en SV",""),IF(G78="",IF(B78&gt;8,IF(C78&gt;=5,"SV tarde","despues del tramo"),IF(H78&gt;=5,"no retomado en 2-8","previo")),IF(B78&lt;2,"retomado",IF(AND(C78&lt;=1,E78&gt;=3),"solo especializacion",IF(F78="","coherente",IF(F78&lt;=-1.5,"SV adelantado",IF(F78&gt;=2,"SV tarde","coherente")))))))</f>
        <v/>
      </c>
      <c r="J78">
        <f>Datos!B78</f>
        <v/>
      </c>
    </row>
    <row r="79">
      <c r="A79">
        <f>Datos!A79</f>
        <v/>
      </c>
      <c r="B79">
        <f>IF(Datos!C79="","",Datos!C79)</f>
        <v/>
      </c>
      <c r="C79">
        <f>COUNT(Datos!E79:M79)</f>
        <v/>
      </c>
      <c r="D79">
        <f>IF(C79=0,"",MEDIAN(Datos!E79:M79))</f>
        <v/>
      </c>
      <c r="E79">
        <f>COUNT(Datos!W79:AE79)</f>
        <v/>
      </c>
      <c r="F79">
        <f>IF(OR(B79="",D79=""),"",B79-D79)</f>
        <v/>
      </c>
      <c r="G79">
        <f>IF(Datos!D79="","",Datos!D79)</f>
        <v/>
      </c>
      <c r="H79">
        <f>COUNT(Datos!N79:V79)</f>
        <v/>
      </c>
      <c r="I79">
        <f>IF(B79="",IF(C79&gt;=5,"falta en SV",""),IF(G79="",IF(B79&gt;8,IF(C79&gt;=5,"SV tarde","despues del tramo"),IF(H79&gt;=5,"no retomado en 2-8","previo")),IF(B79&lt;2,"retomado",IF(AND(C79&lt;=1,E79&gt;=3),"solo especializacion",IF(F79="","coherente",IF(F79&lt;=-1.5,"SV adelantado",IF(F79&gt;=2,"SV tarde","coherente")))))))</f>
        <v/>
      </c>
      <c r="J79">
        <f>Datos!B79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</cols>
  <sheetData>
    <row r="1">
      <c r="A1" s="1" t="inlineStr">
        <is>
          <t>Clase</t>
        </is>
      </c>
      <c r="B1" s="1" t="inlineStr">
        <is>
          <t>Conceptos</t>
        </is>
      </c>
    </row>
    <row r="2">
      <c r="A2" t="inlineStr">
        <is>
          <t>faltante</t>
        </is>
      </c>
      <c r="B2">
        <f>COUNTIF(Datos!B2:B79,A2)</f>
        <v/>
      </c>
    </row>
    <row r="3">
      <c r="A3" t="inlineStr">
        <is>
          <t>tardio</t>
        </is>
      </c>
      <c r="B3">
        <f>COUNTIF(Datos!B2:B79,A3)</f>
        <v/>
      </c>
    </row>
    <row r="4">
      <c r="A4" t="inlineStr">
        <is>
          <t>posterior</t>
        </is>
      </c>
      <c r="B4">
        <f>COUNTIF(Datos!B2:B79,A4)</f>
        <v/>
      </c>
    </row>
    <row r="5">
      <c r="A5" t="inlineStr">
        <is>
          <t>adelantado</t>
        </is>
      </c>
      <c r="B5">
        <f>COUNTIF(Datos!B2:B79,A5)</f>
        <v/>
      </c>
    </row>
    <row r="6">
      <c r="A6" t="inlineStr">
        <is>
          <t>sin_referente</t>
        </is>
      </c>
      <c r="B6">
        <f>COUNTIF(Datos!B2:B79,A6)</f>
        <v/>
      </c>
    </row>
    <row r="7">
      <c r="A7" t="inlineStr">
        <is>
          <t>alineado</t>
        </is>
      </c>
      <c r="B7">
        <f>COUNTIF(Datos!B2:B79,A7)</f>
        <v/>
      </c>
    </row>
    <row r="8">
      <c r="A8" t="inlineStr">
        <is>
          <t>incierto</t>
        </is>
      </c>
      <c r="B8">
        <f>COUNTIF(Datos!B2:B79,A8)</f>
        <v/>
      </c>
    </row>
    <row r="9">
      <c r="A9" t="inlineStr">
        <is>
          <t>Total</t>
        </is>
      </c>
      <c r="B9">
        <f>SUM(B2:B8)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goes-science-kg</dc:creator>
  <dcterms:created xsi:type="dcterms:W3CDTF">2026-01-01T00:00:00Z</dcterms:created>
  <dcterms:modified xsi:type="dcterms:W3CDTF">2026-01-01T00:00:00Z</dcterms:modified>
</cp:coreProperties>
</file>