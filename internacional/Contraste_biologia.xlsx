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Cambio climático y seres vivos</t>
        </is>
      </c>
      <c r="B2" t="inlineStr">
        <is>
          <t>alineado</t>
        </is>
      </c>
      <c r="C2" t="n">
        <v>7</v>
      </c>
      <c r="D2" t="n">
        <v>10</v>
      </c>
      <c r="F2" t="n">
        <v>8</v>
      </c>
      <c r="K2" t="n">
        <v>8</v>
      </c>
      <c r="L2" t="n">
        <v>9.5</v>
      </c>
      <c r="M2" t="n">
        <v>7</v>
      </c>
      <c r="O2" t="n">
        <v>1</v>
      </c>
      <c r="U2" t="n">
        <v>1</v>
      </c>
      <c r="W2" t="n">
        <v>1</v>
      </c>
      <c r="Y2" t="n">
        <v>1</v>
      </c>
      <c r="Z2" t="n">
        <v>1</v>
      </c>
      <c r="AA2" t="n">
        <v>1</v>
      </c>
      <c r="AC2" t="n">
        <v>1</v>
      </c>
      <c r="AD2" t="n">
        <v>1</v>
      </c>
      <c r="AF2" t="n">
        <v>10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Especiación y macroevolución</t>
        </is>
      </c>
      <c r="B3" t="inlineStr">
        <is>
          <t>alineado</t>
        </is>
      </c>
      <c r="C3" t="n">
        <v>10</v>
      </c>
      <c r="D3" t="n">
        <v>10</v>
      </c>
      <c r="F3" t="n">
        <v>8</v>
      </c>
      <c r="G3" t="n">
        <v>8.5</v>
      </c>
      <c r="J3" t="n">
        <v>9</v>
      </c>
      <c r="L3" t="n">
        <v>11</v>
      </c>
      <c r="M3" t="n">
        <v>9.5</v>
      </c>
      <c r="O3" t="n">
        <v>1</v>
      </c>
      <c r="P3" t="n">
        <v>1</v>
      </c>
      <c r="S3" t="n">
        <v>1</v>
      </c>
      <c r="U3" t="n">
        <v>1</v>
      </c>
      <c r="V3" t="n">
        <v>1</v>
      </c>
      <c r="W3" t="n">
        <v>1</v>
      </c>
      <c r="Y3" t="n">
        <v>1</v>
      </c>
      <c r="Z3" t="n">
        <v>1</v>
      </c>
      <c r="AC3" t="n">
        <v>1</v>
      </c>
      <c r="AD3" t="n">
        <v>1</v>
      </c>
      <c r="AE3" t="n">
        <v>1</v>
      </c>
      <c r="AF3" t="n">
        <v>10</v>
      </c>
      <c r="AG3" t="inlineStr">
        <is>
          <t>alineado</t>
        </is>
      </c>
      <c r="AH3" t="inlineStr">
        <is>
          <t>alineado</t>
        </is>
      </c>
    </row>
    <row r="4">
      <c r="A4" t="inlineStr">
        <is>
          <t>Evidencias de la evolución</t>
        </is>
      </c>
      <c r="B4" t="inlineStr">
        <is>
          <t>alineado</t>
        </is>
      </c>
      <c r="C4" t="n">
        <v>9</v>
      </c>
      <c r="D4" t="n">
        <v>9</v>
      </c>
      <c r="E4" t="n">
        <v>9</v>
      </c>
      <c r="F4" t="n">
        <v>8</v>
      </c>
      <c r="G4" t="n">
        <v>4</v>
      </c>
      <c r="I4" t="n">
        <v>8</v>
      </c>
      <c r="M4" t="n">
        <v>7</v>
      </c>
      <c r="N4" t="n">
        <v>1</v>
      </c>
      <c r="O4" t="n">
        <v>1</v>
      </c>
      <c r="P4" t="n">
        <v>1</v>
      </c>
      <c r="R4" t="n">
        <v>1</v>
      </c>
      <c r="V4" t="n">
        <v>1</v>
      </c>
      <c r="W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9</v>
      </c>
      <c r="AG4" t="inlineStr">
        <is>
          <t>alineado</t>
        </is>
      </c>
      <c r="AH4" t="inlineStr">
        <is>
          <t>alineado</t>
        </is>
      </c>
    </row>
    <row r="5">
      <c r="A5" t="inlineStr">
        <is>
          <t>Herencia ligada al sexo, alelos múltiples y poligénica</t>
        </is>
      </c>
      <c r="B5" t="inlineStr">
        <is>
          <t>alineado</t>
        </is>
      </c>
      <c r="C5" t="n">
        <v>7</v>
      </c>
      <c r="D5" t="n">
        <v>10</v>
      </c>
      <c r="F5" t="n">
        <v>10.5</v>
      </c>
      <c r="G5" t="n">
        <v>8.5</v>
      </c>
      <c r="J5" t="n">
        <v>7</v>
      </c>
      <c r="L5" t="n">
        <v>9.5</v>
      </c>
      <c r="M5" t="n">
        <v>7</v>
      </c>
      <c r="O5" t="n">
        <v>1</v>
      </c>
      <c r="P5" t="n">
        <v>1</v>
      </c>
      <c r="U5" t="n">
        <v>1</v>
      </c>
      <c r="V5" t="n">
        <v>1</v>
      </c>
      <c r="W5" t="n">
        <v>1</v>
      </c>
      <c r="Y5" t="n">
        <v>1</v>
      </c>
      <c r="Z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10</v>
      </c>
      <c r="AG5" t="inlineStr">
        <is>
          <t>retomado</t>
        </is>
      </c>
      <c r="AH5" t="inlineStr">
        <is>
          <t>alineado</t>
        </is>
      </c>
    </row>
    <row r="6">
      <c r="A6" t="inlineStr">
        <is>
          <t>Impulso nervioso y sinapsis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8.5</v>
      </c>
      <c r="I6" t="n">
        <v>9.5</v>
      </c>
      <c r="J6" t="n">
        <v>7</v>
      </c>
      <c r="O6" t="n">
        <v>1</v>
      </c>
      <c r="P6" t="n">
        <v>1</v>
      </c>
      <c r="R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B6" t="n">
        <v>1</v>
      </c>
      <c r="AC6" t="n">
        <v>1</v>
      </c>
      <c r="AD6" t="n">
        <v>1</v>
      </c>
      <c r="AF6" t="n">
        <v>10</v>
      </c>
      <c r="AG6" t="inlineStr">
        <is>
          <t>alineado</t>
        </is>
      </c>
      <c r="AH6" t="inlineStr">
        <is>
          <t>alineado</t>
        </is>
      </c>
    </row>
    <row r="7">
      <c r="A7" t="inlineStr">
        <is>
          <t>Ingeniería genética y ADN recombinante</t>
        </is>
      </c>
      <c r="B7" t="inlineStr">
        <is>
          <t>alineado</t>
        </is>
      </c>
      <c r="C7" t="n">
        <v>9</v>
      </c>
      <c r="D7" t="n">
        <v>9</v>
      </c>
      <c r="F7" t="n">
        <v>8</v>
      </c>
      <c r="G7" t="n">
        <v>8.5</v>
      </c>
      <c r="M7" t="n">
        <v>7</v>
      </c>
      <c r="O7" t="n">
        <v>1</v>
      </c>
      <c r="P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9</v>
      </c>
      <c r="AG7" t="inlineStr">
        <is>
          <t>alineado</t>
        </is>
      </c>
      <c r="AH7" t="inlineStr">
        <is>
          <t>alineado</t>
        </is>
      </c>
    </row>
    <row r="8">
      <c r="A8" t="inlineStr">
        <is>
          <t>Inmunidad adaptativa</t>
        </is>
      </c>
      <c r="B8" t="inlineStr">
        <is>
          <t>alineado</t>
        </is>
      </c>
      <c r="C8" t="n">
        <v>9</v>
      </c>
      <c r="D8" t="n">
        <v>9</v>
      </c>
      <c r="F8" t="n">
        <v>10.5</v>
      </c>
      <c r="G8" t="n">
        <v>8.5</v>
      </c>
      <c r="I8" t="n">
        <v>9.5</v>
      </c>
      <c r="L8" t="n">
        <v>9.5</v>
      </c>
      <c r="M8" t="n">
        <v>7</v>
      </c>
      <c r="O8" t="n">
        <v>1</v>
      </c>
      <c r="P8" t="n">
        <v>1</v>
      </c>
      <c r="R8" t="n">
        <v>1</v>
      </c>
      <c r="U8" t="n">
        <v>1</v>
      </c>
      <c r="W8" t="n">
        <v>1</v>
      </c>
      <c r="Y8" t="n">
        <v>1</v>
      </c>
      <c r="Z8" t="n">
        <v>1</v>
      </c>
      <c r="AB8" t="n">
        <v>1</v>
      </c>
      <c r="AD8" t="n">
        <v>1</v>
      </c>
      <c r="AF8" t="n">
        <v>10</v>
      </c>
      <c r="AG8" t="inlineStr">
        <is>
          <t>solo_especializacion</t>
        </is>
      </c>
      <c r="AH8" t="inlineStr">
        <is>
          <t>solo_especializacion</t>
        </is>
      </c>
    </row>
    <row r="9">
      <c r="A9" t="inlineStr">
        <is>
          <t>Inmunidad innata</t>
        </is>
      </c>
      <c r="B9" t="inlineStr">
        <is>
          <t>alineado</t>
        </is>
      </c>
      <c r="C9" t="n">
        <v>9</v>
      </c>
      <c r="D9" t="n">
        <v>9</v>
      </c>
      <c r="G9" t="n">
        <v>8.5</v>
      </c>
      <c r="I9" t="n">
        <v>9.5</v>
      </c>
      <c r="M9" t="n">
        <v>7</v>
      </c>
      <c r="P9" t="n">
        <v>1</v>
      </c>
      <c r="R9" t="n">
        <v>1</v>
      </c>
      <c r="W9" t="n">
        <v>1</v>
      </c>
      <c r="Y9" t="n">
        <v>1</v>
      </c>
      <c r="Z9" t="n">
        <v>1</v>
      </c>
      <c r="AB9" t="n">
        <v>1</v>
      </c>
      <c r="AD9" t="n">
        <v>1</v>
      </c>
      <c r="AF9" t="n">
        <v>10</v>
      </c>
      <c r="AG9" t="inlineStr">
        <is>
          <t>solo_especializacion</t>
        </is>
      </c>
      <c r="AH9" t="inlineStr">
        <is>
          <t>solo_especializacion</t>
        </is>
      </c>
    </row>
    <row r="10">
      <c r="A10" t="inlineStr">
        <is>
          <t>Proteínas: estructura y función</t>
        </is>
      </c>
      <c r="B10" t="inlineStr">
        <is>
          <t>alineado</t>
        </is>
      </c>
      <c r="C10" t="n">
        <v>6</v>
      </c>
      <c r="D10" t="n">
        <v>9</v>
      </c>
      <c r="F10" t="n">
        <v>10.5</v>
      </c>
      <c r="G10" t="n">
        <v>8.5</v>
      </c>
      <c r="I10" t="n">
        <v>9.5</v>
      </c>
      <c r="J10" t="n">
        <v>9</v>
      </c>
      <c r="L10" t="n">
        <v>9.5</v>
      </c>
      <c r="O10" t="n">
        <v>1</v>
      </c>
      <c r="P10" t="n">
        <v>1</v>
      </c>
      <c r="R10" t="n">
        <v>1</v>
      </c>
      <c r="S10" t="n">
        <v>1</v>
      </c>
      <c r="U10" t="n">
        <v>1</v>
      </c>
      <c r="W10" t="n">
        <v>1</v>
      </c>
      <c r="X10" t="n">
        <v>1</v>
      </c>
      <c r="Y10" t="n">
        <v>1</v>
      </c>
      <c r="Z10" t="n">
        <v>1</v>
      </c>
      <c r="AA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9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Modelo estímulo-respuesta y retroalimentación negativa</t>
        </is>
      </c>
      <c r="B11" t="inlineStr">
        <is>
          <t>alineado</t>
        </is>
      </c>
      <c r="C11" t="n">
        <v>9</v>
      </c>
      <c r="D11" t="n">
        <v>9</v>
      </c>
      <c r="E11" t="n">
        <v>8</v>
      </c>
      <c r="F11" t="n">
        <v>8</v>
      </c>
      <c r="G11" t="n">
        <v>8.5</v>
      </c>
      <c r="I11" t="n">
        <v>9.5</v>
      </c>
      <c r="J11" t="n">
        <v>7</v>
      </c>
      <c r="L11" t="n">
        <v>9.5</v>
      </c>
      <c r="M11" t="n">
        <v>7</v>
      </c>
      <c r="O11" t="n">
        <v>1</v>
      </c>
      <c r="P11" t="n">
        <v>1</v>
      </c>
      <c r="R11" t="n">
        <v>1</v>
      </c>
      <c r="U11" t="n">
        <v>1</v>
      </c>
      <c r="W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E11" t="n">
        <v>1</v>
      </c>
      <c r="AF11" t="n">
        <v>9</v>
      </c>
      <c r="AG11" t="inlineStr">
        <is>
          <t>alineado</t>
        </is>
      </c>
      <c r="AH11" t="inlineStr">
        <is>
          <t>alineado</t>
        </is>
      </c>
    </row>
    <row r="12">
      <c r="A12" t="inlineStr">
        <is>
          <t>Sistema endocrino y hormonas</t>
        </is>
      </c>
      <c r="B12" t="inlineStr">
        <is>
          <t>alineado</t>
        </is>
      </c>
      <c r="C12" t="n">
        <v>9</v>
      </c>
      <c r="D12" t="n">
        <v>9</v>
      </c>
      <c r="E12" t="n">
        <v>8</v>
      </c>
      <c r="F12" t="n">
        <v>8</v>
      </c>
      <c r="G12" t="n">
        <v>8.5</v>
      </c>
      <c r="I12" t="n">
        <v>9.5</v>
      </c>
      <c r="J12" t="n">
        <v>7</v>
      </c>
      <c r="L12" t="n">
        <v>9.5</v>
      </c>
      <c r="M12" t="n">
        <v>7</v>
      </c>
      <c r="O12" t="n">
        <v>1</v>
      </c>
      <c r="P12" t="n">
        <v>1</v>
      </c>
      <c r="R12" t="n">
        <v>1</v>
      </c>
      <c r="U12" t="n">
        <v>1</v>
      </c>
      <c r="W12" t="n">
        <v>1</v>
      </c>
      <c r="X12" t="n">
        <v>1</v>
      </c>
      <c r="Y12" t="n">
        <v>1</v>
      </c>
      <c r="Z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9</v>
      </c>
      <c r="AG12" t="inlineStr">
        <is>
          <t>alineado</t>
        </is>
      </c>
      <c r="AH12" t="inlineStr">
        <is>
          <t>alineado</t>
        </is>
      </c>
    </row>
    <row r="13">
      <c r="A13" t="inlineStr">
        <is>
          <t>Sistema inmunitario</t>
        </is>
      </c>
      <c r="B13" t="inlineStr">
        <is>
          <t>alineado</t>
        </is>
      </c>
      <c r="C13" t="n">
        <v>9</v>
      </c>
      <c r="D13" t="n">
        <v>9</v>
      </c>
      <c r="F13" t="n">
        <v>8</v>
      </c>
      <c r="G13" t="n">
        <v>8.5</v>
      </c>
      <c r="I13" t="n">
        <v>9.5</v>
      </c>
      <c r="K13" t="n">
        <v>9</v>
      </c>
      <c r="L13" t="n">
        <v>9.5</v>
      </c>
      <c r="M13" t="n">
        <v>7</v>
      </c>
      <c r="O13" t="n">
        <v>1</v>
      </c>
      <c r="P13" t="n">
        <v>1</v>
      </c>
      <c r="R13" t="n">
        <v>1</v>
      </c>
      <c r="T13" t="n">
        <v>1</v>
      </c>
      <c r="U13" t="n">
        <v>1</v>
      </c>
      <c r="W13" t="n">
        <v>1</v>
      </c>
      <c r="Y13" t="n">
        <v>1</v>
      </c>
      <c r="Z13" t="n">
        <v>1</v>
      </c>
      <c r="AB13" t="n">
        <v>1</v>
      </c>
      <c r="AD13" t="n">
        <v>1</v>
      </c>
      <c r="AE13" t="n">
        <v>1</v>
      </c>
      <c r="AF13" t="n">
        <v>9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Transmisión de patógenos</t>
        </is>
      </c>
      <c r="B14" t="inlineStr">
        <is>
          <t>alineado</t>
        </is>
      </c>
      <c r="C14" t="n">
        <v>3</v>
      </c>
      <c r="D14" t="n">
        <v>9</v>
      </c>
      <c r="F14" t="n">
        <v>8</v>
      </c>
      <c r="G14" t="n">
        <v>8.5</v>
      </c>
      <c r="J14" t="n">
        <v>9</v>
      </c>
      <c r="L14" t="n">
        <v>9.5</v>
      </c>
      <c r="O14" t="n">
        <v>1</v>
      </c>
      <c r="P14" t="n">
        <v>1</v>
      </c>
      <c r="S14" t="n">
        <v>1</v>
      </c>
      <c r="U14" t="n">
        <v>1</v>
      </c>
      <c r="W14" t="n">
        <v>1</v>
      </c>
      <c r="X14" t="n">
        <v>1</v>
      </c>
      <c r="Y14" t="n">
        <v>1</v>
      </c>
      <c r="Z14" t="n">
        <v>1</v>
      </c>
      <c r="AD14" t="n">
        <v>1</v>
      </c>
      <c r="AF14" t="n">
        <v>9</v>
      </c>
      <c r="AG14" t="inlineStr">
        <is>
          <t>retomado</t>
        </is>
      </c>
      <c r="AH14" t="inlineStr">
        <is>
          <t>alineado</t>
        </is>
      </c>
    </row>
    <row r="15">
      <c r="A15" t="inlineStr">
        <is>
          <t>Adaptaciones conductuales</t>
        </is>
      </c>
      <c r="B15" t="inlineStr">
        <is>
          <t>incierto</t>
        </is>
      </c>
      <c r="C15" t="n">
        <v>3</v>
      </c>
      <c r="D15" t="n">
        <v>10</v>
      </c>
      <c r="E15" t="n">
        <v>4</v>
      </c>
      <c r="F15" t="n">
        <v>8</v>
      </c>
      <c r="I15" t="n">
        <v>3</v>
      </c>
      <c r="L15" t="n">
        <v>11</v>
      </c>
      <c r="O15" t="n">
        <v>1</v>
      </c>
      <c r="U15" t="n">
        <v>1</v>
      </c>
      <c r="W15" t="n">
        <v>1</v>
      </c>
      <c r="Y15" t="n">
        <v>1</v>
      </c>
      <c r="AA15" t="n">
        <v>1</v>
      </c>
      <c r="AC15" t="n">
        <v>1</v>
      </c>
      <c r="AD15" t="n">
        <v>1</v>
      </c>
      <c r="AE15" t="n">
        <v>1</v>
      </c>
      <c r="AF15" t="n">
        <v>10</v>
      </c>
      <c r="AG15" t="inlineStr">
        <is>
          <t>retomado</t>
        </is>
      </c>
      <c r="AH15" t="inlineStr">
        <is>
          <t>solo_especializacion</t>
        </is>
      </c>
    </row>
    <row r="16">
      <c r="A16" t="inlineStr">
        <is>
          <t>Ciclo del nitrógeno</t>
        </is>
      </c>
      <c r="B16" t="inlineStr">
        <is>
          <t>incierto</t>
        </is>
      </c>
      <c r="C16" t="n">
        <v>9</v>
      </c>
      <c r="D16" t="n">
        <v>9</v>
      </c>
      <c r="F16" t="n">
        <v>8</v>
      </c>
      <c r="G16" t="n">
        <v>8.5</v>
      </c>
      <c r="I16" t="n">
        <v>9.5</v>
      </c>
      <c r="K16" t="n">
        <v>8</v>
      </c>
      <c r="O16" t="n">
        <v>1</v>
      </c>
      <c r="P16" t="n">
        <v>1</v>
      </c>
      <c r="R16" t="n">
        <v>1</v>
      </c>
      <c r="Y16" t="n">
        <v>1</v>
      </c>
      <c r="Z16" t="n">
        <v>1</v>
      </c>
      <c r="AA16" t="n">
        <v>1</v>
      </c>
      <c r="AE16" t="n">
        <v>1</v>
      </c>
      <c r="AF16" t="n">
        <v>9</v>
      </c>
      <c r="AG16" t="inlineStr">
        <is>
          <t>sin_referente</t>
        </is>
      </c>
      <c r="AH16" t="inlineStr">
        <is>
          <t>alineado</t>
        </is>
      </c>
    </row>
    <row r="17">
      <c r="A17" t="inlineStr">
        <is>
          <t>Ciclos del fósforo y del azufre</t>
        </is>
      </c>
      <c r="B17" t="inlineStr">
        <is>
          <t>incierto</t>
        </is>
      </c>
      <c r="C17" t="n">
        <v>8</v>
      </c>
      <c r="D17" t="n">
        <v>10</v>
      </c>
      <c r="K17" t="n">
        <v>8</v>
      </c>
      <c r="Z17" t="n">
        <v>1</v>
      </c>
      <c r="AF17" t="n">
        <v>10</v>
      </c>
      <c r="AG17" t="inlineStr">
        <is>
          <t>retomado</t>
        </is>
      </c>
      <c r="AH17" t="inlineStr">
        <is>
          <t>sin_referente</t>
        </is>
      </c>
    </row>
    <row r="18">
      <c r="A18" t="inlineStr">
        <is>
          <t>Circulación e intercambio capilar</t>
        </is>
      </c>
      <c r="B18" t="inlineStr">
        <is>
          <t>incierto</t>
        </is>
      </c>
      <c r="C18" t="n">
        <v>8</v>
      </c>
      <c r="D18" t="n">
        <v>11</v>
      </c>
      <c r="F18" t="n">
        <v>8</v>
      </c>
      <c r="G18" t="n">
        <v>8.5</v>
      </c>
      <c r="L18" t="n">
        <v>9.5</v>
      </c>
      <c r="O18" t="n">
        <v>1</v>
      </c>
      <c r="P18" t="n">
        <v>1</v>
      </c>
      <c r="U18" t="n">
        <v>1</v>
      </c>
      <c r="W18" t="n">
        <v>1</v>
      </c>
      <c r="Y18" t="n">
        <v>1</v>
      </c>
      <c r="Z18" t="n">
        <v>1</v>
      </c>
      <c r="AC18" t="n">
        <v>1</v>
      </c>
      <c r="AD18" t="n">
        <v>1</v>
      </c>
      <c r="AF18" t="n">
        <v>11</v>
      </c>
      <c r="AG18" t="inlineStr">
        <is>
          <t>retomado</t>
        </is>
      </c>
      <c r="AH18" t="inlineStr">
        <is>
          <t>solo_especializacion</t>
        </is>
      </c>
    </row>
    <row r="19">
      <c r="A19" t="inlineStr">
        <is>
          <t>Propagación de enfermedades y control de brotes</t>
        </is>
      </c>
      <c r="B19" t="inlineStr">
        <is>
          <t>incierto</t>
        </is>
      </c>
      <c r="C19" t="n">
        <v>9</v>
      </c>
      <c r="D19" t="n">
        <v>9</v>
      </c>
      <c r="G19" t="n">
        <v>8.5</v>
      </c>
      <c r="J19" t="n">
        <v>7</v>
      </c>
      <c r="K19" t="n">
        <v>9</v>
      </c>
      <c r="L19" t="n">
        <v>9.5</v>
      </c>
      <c r="P19" t="n">
        <v>1</v>
      </c>
      <c r="S19" t="n">
        <v>1</v>
      </c>
      <c r="T19" t="n">
        <v>1</v>
      </c>
      <c r="U19" t="n">
        <v>1</v>
      </c>
      <c r="W19" t="n">
        <v>1</v>
      </c>
      <c r="X19" t="n">
        <v>1</v>
      </c>
      <c r="Y19" t="n">
        <v>1</v>
      </c>
      <c r="Z19" t="n">
        <v>1</v>
      </c>
      <c r="AD19" t="n">
        <v>1</v>
      </c>
      <c r="AF19" t="n">
        <v>9</v>
      </c>
      <c r="AG19" t="inlineStr">
        <is>
          <t>sin_referente</t>
        </is>
      </c>
      <c r="AH19" t="inlineStr">
        <is>
          <t>alineado</t>
        </is>
      </c>
    </row>
    <row r="20">
      <c r="A20" t="inlineStr">
        <is>
          <t>Eutrofización</t>
        </is>
      </c>
      <c r="B20" t="inlineStr">
        <is>
          <t>incierto</t>
        </is>
      </c>
      <c r="C20" t="n">
        <v>7</v>
      </c>
      <c r="D20" t="n">
        <v>10</v>
      </c>
      <c r="Z20" t="n">
        <v>1</v>
      </c>
      <c r="AF20" t="n">
        <v>10</v>
      </c>
      <c r="AG20" t="inlineStr">
        <is>
          <t>retomado</t>
        </is>
      </c>
      <c r="AH20" t="inlineStr">
        <is>
          <t>sin_referente</t>
        </is>
      </c>
    </row>
    <row r="21">
      <c r="A21" t="inlineStr">
        <is>
          <t>Fases de la fotosíntesis y ciclo de Calvin</t>
        </is>
      </c>
      <c r="B21" t="inlineStr">
        <is>
          <t>incierto</t>
        </is>
      </c>
      <c r="C21" t="n">
        <v>6</v>
      </c>
      <c r="D21" t="n">
        <v>10</v>
      </c>
      <c r="F21" t="n">
        <v>8</v>
      </c>
      <c r="G21" t="n">
        <v>8.5</v>
      </c>
      <c r="L21" t="n">
        <v>11</v>
      </c>
      <c r="O21" t="n">
        <v>1</v>
      </c>
      <c r="P21" t="n">
        <v>1</v>
      </c>
      <c r="U21" t="n">
        <v>1</v>
      </c>
      <c r="Y21" t="n">
        <v>1</v>
      </c>
      <c r="Z21" t="n">
        <v>1</v>
      </c>
      <c r="AB21" t="n">
        <v>1</v>
      </c>
      <c r="AC21" t="n">
        <v>1</v>
      </c>
      <c r="AD21" t="n">
        <v>1</v>
      </c>
      <c r="AE21" t="n">
        <v>1</v>
      </c>
      <c r="AF21" t="n">
        <v>10</v>
      </c>
      <c r="AG21" t="inlineStr">
        <is>
          <t>retomado</t>
        </is>
      </c>
      <c r="AH21" t="inlineStr">
        <is>
          <t>solo_especializacion</t>
        </is>
      </c>
    </row>
    <row r="22">
      <c r="A22" t="inlineStr">
        <is>
          <t>Relación superficie-volumen</t>
        </is>
      </c>
      <c r="B22" t="inlineStr">
        <is>
          <t>incierto</t>
        </is>
      </c>
      <c r="C22" t="n">
        <v>10</v>
      </c>
      <c r="D22" t="n">
        <v>10</v>
      </c>
      <c r="F22" t="n">
        <v>8</v>
      </c>
      <c r="G22" t="n">
        <v>8.5</v>
      </c>
      <c r="J22" t="n">
        <v>7</v>
      </c>
      <c r="L22" t="n">
        <v>9.5</v>
      </c>
      <c r="O22" t="n">
        <v>1</v>
      </c>
      <c r="P22" t="n">
        <v>1</v>
      </c>
      <c r="U22" t="n">
        <v>1</v>
      </c>
      <c r="W22" t="n">
        <v>1</v>
      </c>
      <c r="Y22" t="n">
        <v>1</v>
      </c>
      <c r="Z22" t="n">
        <v>1</v>
      </c>
      <c r="AB22" t="n">
        <v>1</v>
      </c>
      <c r="AD22" t="n">
        <v>1</v>
      </c>
      <c r="AF22" t="n">
        <v>10</v>
      </c>
      <c r="AG22" t="inlineStr">
        <is>
          <t>sin_referente</t>
        </is>
      </c>
      <c r="AH22" t="inlineStr">
        <is>
          <t>alineado</t>
        </is>
      </c>
    </row>
    <row r="23">
      <c r="A23" t="inlineStr">
        <is>
          <t>Relaciones intraespecíficas</t>
        </is>
      </c>
      <c r="B23" t="inlineStr">
        <is>
          <t>incierto</t>
        </is>
      </c>
      <c r="C23" t="n">
        <v>7</v>
      </c>
      <c r="D23" t="n">
        <v>11</v>
      </c>
      <c r="W23" t="n">
        <v>1</v>
      </c>
      <c r="AA23" t="n">
        <v>1</v>
      </c>
      <c r="AB23" t="n">
        <v>1</v>
      </c>
      <c r="AF23" t="n">
        <v>11</v>
      </c>
      <c r="AG23" t="inlineStr">
        <is>
          <t>retomado</t>
        </is>
      </c>
      <c r="AH23" t="inlineStr">
        <is>
          <t>solo_especializacion</t>
        </is>
      </c>
    </row>
    <row r="24">
      <c r="A24" t="inlineStr">
        <is>
          <t>Virus</t>
        </is>
      </c>
      <c r="B24" t="inlineStr">
        <is>
          <t>incierto</t>
        </is>
      </c>
      <c r="C24" t="n">
        <v>9</v>
      </c>
      <c r="D24" t="n">
        <v>9</v>
      </c>
      <c r="F24" t="n">
        <v>8</v>
      </c>
      <c r="G24" t="n">
        <v>8.5</v>
      </c>
      <c r="L24" t="n">
        <v>9.5</v>
      </c>
      <c r="O24" t="n">
        <v>1</v>
      </c>
      <c r="P24" t="n">
        <v>1</v>
      </c>
      <c r="U24" t="n">
        <v>1</v>
      </c>
      <c r="W24" t="n">
        <v>1</v>
      </c>
      <c r="Y24" t="n">
        <v>1</v>
      </c>
      <c r="Z24" t="n">
        <v>1</v>
      </c>
      <c r="AC24" t="n">
        <v>1</v>
      </c>
      <c r="AD24" t="n">
        <v>1</v>
      </c>
      <c r="AF24" t="n">
        <v>9</v>
      </c>
      <c r="AG24" t="inlineStr">
        <is>
          <t>sin_referente</t>
        </is>
      </c>
      <c r="AH24" t="inlineStr">
        <is>
          <t>alineado</t>
        </is>
      </c>
    </row>
    <row r="25">
      <c r="A25" t="inlineStr">
        <is>
          <t>Especies clave</t>
        </is>
      </c>
      <c r="B25" t="inlineStr">
        <is>
          <t>no_aplica</t>
        </is>
      </c>
      <c r="C25" t="n">
        <v>7</v>
      </c>
      <c r="W25" t="n">
        <v>1</v>
      </c>
      <c r="Z25" t="n">
        <v>1</v>
      </c>
      <c r="AC25" t="n">
        <v>1</v>
      </c>
      <c r="AG25" t="inlineStr">
        <is>
          <t>previo</t>
        </is>
      </c>
      <c r="AH25" t="inlineStr">
        <is>
          <t>no_aplica</t>
        </is>
      </c>
    </row>
    <row r="26">
      <c r="A26" t="inlineStr">
        <is>
          <t>Biomas y clasificación de ambientes</t>
        </is>
      </c>
      <c r="B26" t="inlineStr">
        <is>
          <t>previo</t>
        </is>
      </c>
      <c r="C26" t="n">
        <v>4</v>
      </c>
      <c r="F26" t="n">
        <v>8</v>
      </c>
      <c r="I26" t="n">
        <v>9.5</v>
      </c>
      <c r="O26" t="n">
        <v>1</v>
      </c>
      <c r="R26" t="n">
        <v>1</v>
      </c>
      <c r="W26" t="n">
        <v>1</v>
      </c>
      <c r="Z26" t="n">
        <v>1</v>
      </c>
      <c r="AE26" t="n">
        <v>1</v>
      </c>
      <c r="AF26" t="n">
        <v>4</v>
      </c>
      <c r="AG26" t="inlineStr">
        <is>
          <t>previo</t>
        </is>
      </c>
      <c r="AH26" t="inlineStr">
        <is>
          <t>previo</t>
        </is>
      </c>
    </row>
    <row r="27">
      <c r="A27" t="inlineStr">
        <is>
          <t>Ciclo de vida de los animales</t>
        </is>
      </c>
      <c r="B27" t="inlineStr">
        <is>
          <t>previo</t>
        </is>
      </c>
      <c r="C27" t="n">
        <v>3</v>
      </c>
      <c r="E27" t="n">
        <v>2</v>
      </c>
      <c r="F27" t="n">
        <v>8</v>
      </c>
      <c r="G27" t="n">
        <v>2</v>
      </c>
      <c r="I27" t="n">
        <v>2</v>
      </c>
      <c r="L27" t="n">
        <v>11</v>
      </c>
      <c r="O27" t="n">
        <v>1</v>
      </c>
      <c r="U27" t="n">
        <v>1</v>
      </c>
      <c r="AD27" t="n">
        <v>1</v>
      </c>
      <c r="AE27" t="n">
        <v>1</v>
      </c>
      <c r="AF27" t="n">
        <v>3</v>
      </c>
      <c r="AG27" t="inlineStr">
        <is>
          <t>previo</t>
        </is>
      </c>
      <c r="AH27" t="inlineStr">
        <is>
          <t>previo</t>
        </is>
      </c>
    </row>
    <row r="28">
      <c r="A28" t="inlineStr">
        <is>
          <t>Clasificación de seres vivos por sus rasgos</t>
        </is>
      </c>
      <c r="B28" t="inlineStr">
        <is>
          <t>previo</t>
        </is>
      </c>
      <c r="C28" t="n">
        <v>2</v>
      </c>
      <c r="D28" t="n">
        <v>11</v>
      </c>
      <c r="E28" t="n">
        <v>2</v>
      </c>
      <c r="F28" t="n">
        <v>8</v>
      </c>
      <c r="G28" t="n">
        <v>2</v>
      </c>
      <c r="I28" t="n">
        <v>2</v>
      </c>
      <c r="M28" t="n">
        <v>7</v>
      </c>
      <c r="O28" t="n">
        <v>1</v>
      </c>
      <c r="R28" t="n">
        <v>1</v>
      </c>
      <c r="W28" t="n">
        <v>1</v>
      </c>
      <c r="Y28" t="n">
        <v>1</v>
      </c>
      <c r="Z28" t="n">
        <v>1</v>
      </c>
      <c r="AB28" t="n">
        <v>1</v>
      </c>
      <c r="AC28" t="n">
        <v>1</v>
      </c>
      <c r="AF28" t="n">
        <v>2</v>
      </c>
      <c r="AG28" t="inlineStr">
        <is>
          <t>retomado</t>
        </is>
      </c>
      <c r="AH28" t="inlineStr">
        <is>
          <t>previo</t>
        </is>
      </c>
    </row>
    <row r="29">
      <c r="A29" t="inlineStr">
        <is>
          <t>Competencia por recursos</t>
        </is>
      </c>
      <c r="B29" t="inlineStr">
        <is>
          <t>previo</t>
        </is>
      </c>
      <c r="C29" t="n">
        <v>4</v>
      </c>
      <c r="D29" t="n">
        <v>11</v>
      </c>
      <c r="F29" t="n">
        <v>8</v>
      </c>
      <c r="G29" t="n">
        <v>6</v>
      </c>
      <c r="I29" t="n">
        <v>9.5</v>
      </c>
      <c r="J29" t="n">
        <v>9</v>
      </c>
      <c r="O29" t="n">
        <v>1</v>
      </c>
      <c r="P29" t="n">
        <v>1</v>
      </c>
      <c r="R29" t="n">
        <v>1</v>
      </c>
      <c r="S29" t="n">
        <v>1</v>
      </c>
      <c r="W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4</v>
      </c>
      <c r="AG29" t="inlineStr">
        <is>
          <t>retomado</t>
        </is>
      </c>
      <c r="AH29" t="inlineStr">
        <is>
          <t>previo</t>
        </is>
      </c>
    </row>
    <row r="30">
      <c r="A30" t="inlineStr">
        <is>
          <t>Ecosistemas naturales, rurales y urbanos</t>
        </is>
      </c>
      <c r="B30" t="inlineStr">
        <is>
          <t>previo</t>
        </is>
      </c>
      <c r="C30" t="n">
        <v>2</v>
      </c>
      <c r="F30" t="n">
        <v>10.5</v>
      </c>
      <c r="O30" t="n">
        <v>1</v>
      </c>
      <c r="Z30" t="n">
        <v>1</v>
      </c>
      <c r="AA30" t="n">
        <v>1</v>
      </c>
      <c r="AE30" t="n">
        <v>1</v>
      </c>
      <c r="AF30" t="n">
        <v>2</v>
      </c>
      <c r="AG30" t="inlineStr">
        <is>
          <t>previo</t>
        </is>
      </c>
      <c r="AH30" t="inlineStr">
        <is>
          <t>previo</t>
        </is>
      </c>
    </row>
    <row r="31">
      <c r="A31" t="inlineStr">
        <is>
          <t>Grupos de plantas</t>
        </is>
      </c>
      <c r="B31" t="inlineStr">
        <is>
          <t>previo</t>
        </is>
      </c>
      <c r="C31" t="n">
        <v>3</v>
      </c>
      <c r="F31" t="n">
        <v>8</v>
      </c>
      <c r="I31" t="n">
        <v>6</v>
      </c>
      <c r="O31" t="n">
        <v>1</v>
      </c>
      <c r="Z31" t="n">
        <v>1</v>
      </c>
      <c r="AB31" t="n">
        <v>1</v>
      </c>
      <c r="AC31" t="n">
        <v>1</v>
      </c>
      <c r="AF31" t="n">
        <v>3</v>
      </c>
      <c r="AG31" t="inlineStr">
        <is>
          <t>previo</t>
        </is>
      </c>
      <c r="AH31" t="inlineStr">
        <is>
          <t>previo</t>
        </is>
      </c>
    </row>
    <row r="32">
      <c r="A32" t="inlineStr">
        <is>
          <t>Grupos de vertebrados</t>
        </is>
      </c>
      <c r="B32" t="inlineStr">
        <is>
          <t>previo</t>
        </is>
      </c>
      <c r="C32" t="n">
        <v>2</v>
      </c>
      <c r="F32" t="n">
        <v>8</v>
      </c>
      <c r="G32" t="n">
        <v>2</v>
      </c>
      <c r="I32" t="n">
        <v>6</v>
      </c>
      <c r="O32" t="n">
        <v>1</v>
      </c>
      <c r="AB32" t="n">
        <v>1</v>
      </c>
      <c r="AF32" t="n">
        <v>2</v>
      </c>
      <c r="AG32" t="inlineStr">
        <is>
          <t>previo</t>
        </is>
      </c>
      <c r="AH32" t="inlineStr">
        <is>
          <t>previo</t>
        </is>
      </c>
    </row>
    <row r="33">
      <c r="A33" t="inlineStr">
        <is>
          <t>Intercambio de gases en animales</t>
        </is>
      </c>
      <c r="B33" t="inlineStr">
        <is>
          <t>previo</t>
        </is>
      </c>
      <c r="C33" t="n">
        <v>3</v>
      </c>
      <c r="D33" t="n">
        <v>11</v>
      </c>
      <c r="F33" t="n">
        <v>8</v>
      </c>
      <c r="G33" t="n">
        <v>6</v>
      </c>
      <c r="I33" t="n">
        <v>5</v>
      </c>
      <c r="J33" t="n">
        <v>7</v>
      </c>
      <c r="L33" t="n">
        <v>9.5</v>
      </c>
      <c r="M33" t="n">
        <v>7</v>
      </c>
      <c r="O33" t="n">
        <v>1</v>
      </c>
      <c r="P33" t="n">
        <v>1</v>
      </c>
      <c r="U33" t="n">
        <v>1</v>
      </c>
      <c r="W33" t="n">
        <v>1</v>
      </c>
      <c r="Y33" t="n">
        <v>1</v>
      </c>
      <c r="Z33" t="n">
        <v>1</v>
      </c>
      <c r="AC33" t="n">
        <v>1</v>
      </c>
      <c r="AD33" t="n">
        <v>1</v>
      </c>
      <c r="AF33" t="n">
        <v>3</v>
      </c>
      <c r="AG33" t="inlineStr">
        <is>
          <t>retomado</t>
        </is>
      </c>
      <c r="AH33" t="inlineStr">
        <is>
          <t>previo</t>
        </is>
      </c>
    </row>
    <row r="34">
      <c r="A34" t="inlineStr">
        <is>
          <t>Invertebrados e insectos</t>
        </is>
      </c>
      <c r="B34" t="inlineStr">
        <is>
          <t>previo</t>
        </is>
      </c>
      <c r="C34" t="n">
        <v>2</v>
      </c>
      <c r="F34" t="n">
        <v>8</v>
      </c>
      <c r="G34" t="n">
        <v>6</v>
      </c>
      <c r="I34" t="n">
        <v>2</v>
      </c>
      <c r="L34" t="n">
        <v>11</v>
      </c>
      <c r="O34" t="n">
        <v>1</v>
      </c>
      <c r="U34" t="n">
        <v>1</v>
      </c>
      <c r="AC34" t="n">
        <v>1</v>
      </c>
      <c r="AF34" t="n">
        <v>2</v>
      </c>
      <c r="AG34" t="inlineStr">
        <is>
          <t>previo</t>
        </is>
      </c>
      <c r="AH34" t="inlineStr">
        <is>
          <t>previo</t>
        </is>
      </c>
    </row>
    <row r="35">
      <c r="A35" t="inlineStr">
        <is>
          <t>Osmorregulación y equilibrio hídrico</t>
        </is>
      </c>
      <c r="B35" t="inlineStr">
        <is>
          <t>previo</t>
        </is>
      </c>
      <c r="C35" t="n">
        <v>7</v>
      </c>
      <c r="D35" t="n">
        <v>10</v>
      </c>
      <c r="F35" t="n">
        <v>10.5</v>
      </c>
      <c r="L35" t="n">
        <v>9.5</v>
      </c>
      <c r="O35" t="n">
        <v>1</v>
      </c>
      <c r="U35" t="n">
        <v>1</v>
      </c>
      <c r="W35" t="n">
        <v>1</v>
      </c>
      <c r="Y35" t="n">
        <v>1</v>
      </c>
      <c r="Z35" t="n">
        <v>1</v>
      </c>
      <c r="AC35" t="n">
        <v>1</v>
      </c>
      <c r="AD35" t="n">
        <v>1</v>
      </c>
      <c r="AF35" t="n">
        <v>8</v>
      </c>
      <c r="AG35" t="inlineStr">
        <is>
          <t>retomado</t>
        </is>
      </c>
      <c r="AH35" t="inlineStr">
        <is>
          <t>previo</t>
        </is>
      </c>
    </row>
    <row r="36">
      <c r="A36" t="inlineStr">
        <is>
          <t>Partes de la planta y sus funciones</t>
        </is>
      </c>
      <c r="B36" t="inlineStr">
        <is>
          <t>previo</t>
        </is>
      </c>
      <c r="C36" t="n">
        <v>2</v>
      </c>
      <c r="F36" t="n">
        <v>8</v>
      </c>
      <c r="G36" t="n">
        <v>2</v>
      </c>
      <c r="I36" t="n">
        <v>2</v>
      </c>
      <c r="K36" t="n">
        <v>9</v>
      </c>
      <c r="L36" t="n">
        <v>9.5</v>
      </c>
      <c r="M36" t="n">
        <v>7</v>
      </c>
      <c r="O36" t="n">
        <v>1</v>
      </c>
      <c r="P36" t="n">
        <v>1</v>
      </c>
      <c r="T36" t="n">
        <v>1</v>
      </c>
      <c r="U36" t="n">
        <v>1</v>
      </c>
      <c r="W36" t="n">
        <v>1</v>
      </c>
      <c r="Y36" t="n">
        <v>1</v>
      </c>
      <c r="Z36" t="n">
        <v>1</v>
      </c>
      <c r="AB36" t="n">
        <v>1</v>
      </c>
      <c r="AC36" t="n">
        <v>1</v>
      </c>
      <c r="AD36" t="n">
        <v>1</v>
      </c>
      <c r="AE36" t="n">
        <v>1</v>
      </c>
      <c r="AF36" t="n">
        <v>2</v>
      </c>
      <c r="AG36" t="inlineStr">
        <is>
          <t>previo</t>
        </is>
      </c>
      <c r="AH36" t="inlineStr">
        <is>
          <t>previo</t>
        </is>
      </c>
    </row>
    <row r="37">
      <c r="A37" t="inlineStr">
        <is>
          <t>Grandes grupos taxonómicos</t>
        </is>
      </c>
      <c r="B37" t="inlineStr">
        <is>
          <t>previo</t>
        </is>
      </c>
      <c r="C37" t="n">
        <v>2</v>
      </c>
      <c r="F37" t="n">
        <v>8</v>
      </c>
      <c r="G37" t="n">
        <v>4</v>
      </c>
      <c r="I37" t="n">
        <v>6</v>
      </c>
      <c r="J37" t="n">
        <v>7</v>
      </c>
      <c r="O37" t="n">
        <v>1</v>
      </c>
      <c r="Z37" t="n">
        <v>1</v>
      </c>
      <c r="AB37" t="n">
        <v>1</v>
      </c>
      <c r="AC37" t="n">
        <v>1</v>
      </c>
      <c r="AF37" t="n">
        <v>2</v>
      </c>
      <c r="AG37" t="inlineStr">
        <is>
          <t>previo</t>
        </is>
      </c>
      <c r="AH37" t="inlineStr">
        <is>
          <t>previo</t>
        </is>
      </c>
    </row>
    <row r="38">
      <c r="A38" t="inlineStr">
        <is>
          <t>Reproducción sexual de las plantas con flor</t>
        </is>
      </c>
      <c r="B38" t="inlineStr">
        <is>
          <t>previo</t>
        </is>
      </c>
      <c r="C38" t="n">
        <v>6</v>
      </c>
      <c r="E38" t="n">
        <v>8</v>
      </c>
      <c r="F38" t="n">
        <v>8</v>
      </c>
      <c r="G38" t="n">
        <v>2</v>
      </c>
      <c r="I38" t="n">
        <v>4</v>
      </c>
      <c r="M38" t="n">
        <v>7</v>
      </c>
      <c r="O38" t="n">
        <v>1</v>
      </c>
      <c r="Z38" t="n">
        <v>1</v>
      </c>
      <c r="AC38" t="n">
        <v>1</v>
      </c>
      <c r="AD38" t="n">
        <v>1</v>
      </c>
      <c r="AE38" t="n">
        <v>1</v>
      </c>
      <c r="AF38" t="n">
        <v>6</v>
      </c>
      <c r="AG38" t="inlineStr">
        <is>
          <t>previo</t>
        </is>
      </c>
      <c r="AH38" t="inlineStr">
        <is>
          <t>previo</t>
        </is>
      </c>
    </row>
    <row r="39">
      <c r="A39" t="inlineStr">
        <is>
          <t>Sistema digestivo</t>
        </is>
      </c>
      <c r="B39" t="inlineStr">
        <is>
          <t>previo</t>
        </is>
      </c>
      <c r="C39" t="n">
        <v>4</v>
      </c>
      <c r="D39" t="n">
        <v>9</v>
      </c>
      <c r="F39" t="n">
        <v>8</v>
      </c>
      <c r="G39" t="n">
        <v>2</v>
      </c>
      <c r="I39" t="n">
        <v>5</v>
      </c>
      <c r="J39" t="n">
        <v>7</v>
      </c>
      <c r="K39" t="n">
        <v>9</v>
      </c>
      <c r="L39" t="n">
        <v>9.5</v>
      </c>
      <c r="M39" t="n">
        <v>7</v>
      </c>
      <c r="O39" t="n">
        <v>1</v>
      </c>
      <c r="T39" t="n">
        <v>1</v>
      </c>
      <c r="U39" t="n">
        <v>1</v>
      </c>
      <c r="W39" t="n">
        <v>1</v>
      </c>
      <c r="Z39" t="n">
        <v>1</v>
      </c>
      <c r="AB39" t="n">
        <v>1</v>
      </c>
      <c r="AC39" t="n">
        <v>1</v>
      </c>
      <c r="AD39" t="n">
        <v>1</v>
      </c>
      <c r="AF39" t="n">
        <v>4</v>
      </c>
      <c r="AG39" t="inlineStr">
        <is>
          <t>retomado</t>
        </is>
      </c>
      <c r="AH39" t="inlineStr">
        <is>
          <t>previo</t>
        </is>
      </c>
    </row>
    <row r="40">
      <c r="A40" t="inlineStr">
        <is>
          <t>Sistema excretor</t>
        </is>
      </c>
      <c r="B40" t="inlineStr">
        <is>
          <t>previo</t>
        </is>
      </c>
      <c r="C40" t="n">
        <v>4</v>
      </c>
      <c r="F40" t="n">
        <v>8</v>
      </c>
      <c r="G40" t="n">
        <v>8.5</v>
      </c>
      <c r="I40" t="n">
        <v>5</v>
      </c>
      <c r="J40" t="n">
        <v>7</v>
      </c>
      <c r="L40" t="n">
        <v>9.5</v>
      </c>
      <c r="O40" t="n">
        <v>1</v>
      </c>
      <c r="P40" t="n">
        <v>1</v>
      </c>
      <c r="U40" t="n">
        <v>1</v>
      </c>
      <c r="W40" t="n">
        <v>1</v>
      </c>
      <c r="Y40" t="n">
        <v>1</v>
      </c>
      <c r="Z40" t="n">
        <v>1</v>
      </c>
      <c r="AC40" t="n">
        <v>1</v>
      </c>
      <c r="AD40" t="n">
        <v>1</v>
      </c>
      <c r="AF40" t="n">
        <v>4</v>
      </c>
      <c r="AG40" t="inlineStr">
        <is>
          <t>previo</t>
        </is>
      </c>
      <c r="AH40" t="inlineStr">
        <is>
          <t>previo</t>
        </is>
      </c>
    </row>
    <row r="41">
      <c r="A41" t="inlineStr">
        <is>
          <t>Sistema locomotor</t>
        </is>
      </c>
      <c r="B41" t="inlineStr">
        <is>
          <t>previo</t>
        </is>
      </c>
      <c r="C41" t="n">
        <v>4</v>
      </c>
      <c r="F41" t="n">
        <v>8</v>
      </c>
      <c r="G41" t="n">
        <v>2</v>
      </c>
      <c r="I41" t="n">
        <v>3</v>
      </c>
      <c r="O41" t="n">
        <v>1</v>
      </c>
      <c r="P41" t="n">
        <v>1</v>
      </c>
      <c r="Z41" t="n">
        <v>1</v>
      </c>
      <c r="AD41" t="n">
        <v>1</v>
      </c>
      <c r="AF41" t="n">
        <v>4</v>
      </c>
      <c r="AG41" t="inlineStr">
        <is>
          <t>previo</t>
        </is>
      </c>
      <c r="AH41" t="inlineStr">
        <is>
          <t>previo</t>
        </is>
      </c>
    </row>
    <row r="42">
      <c r="A42" t="inlineStr">
        <is>
          <t>Acervo génico y frecuencias alélicas</t>
        </is>
      </c>
      <c r="B42" t="inlineStr">
        <is>
          <t>retomado</t>
        </is>
      </c>
      <c r="C42" t="n">
        <v>7</v>
      </c>
      <c r="D42" t="n">
        <v>10</v>
      </c>
      <c r="F42" t="n">
        <v>10.5</v>
      </c>
      <c r="G42" t="n">
        <v>8.5</v>
      </c>
      <c r="J42" t="n">
        <v>9</v>
      </c>
      <c r="L42" t="n">
        <v>11</v>
      </c>
      <c r="M42" t="n">
        <v>9.5</v>
      </c>
      <c r="O42" t="n">
        <v>1</v>
      </c>
      <c r="P42" t="n">
        <v>1</v>
      </c>
      <c r="S42" t="n">
        <v>1</v>
      </c>
      <c r="U42" t="n">
        <v>1</v>
      </c>
      <c r="V42" t="n">
        <v>1</v>
      </c>
      <c r="W42" t="n">
        <v>1</v>
      </c>
      <c r="Y42" t="n">
        <v>1</v>
      </c>
      <c r="Z42" t="n">
        <v>1</v>
      </c>
      <c r="AA42" t="n">
        <v>1</v>
      </c>
      <c r="AD42" t="n">
        <v>1</v>
      </c>
      <c r="AE42" t="n">
        <v>1</v>
      </c>
      <c r="AF42" t="n">
        <v>7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Adaptaciones estructurales</t>
        </is>
      </c>
      <c r="B43" t="inlineStr">
        <is>
          <t>retomado</t>
        </is>
      </c>
      <c r="C43" t="n">
        <v>2</v>
      </c>
      <c r="D43" t="n">
        <v>10</v>
      </c>
      <c r="E43" t="n">
        <v>4</v>
      </c>
      <c r="F43" t="n">
        <v>8</v>
      </c>
      <c r="G43" t="n">
        <v>4</v>
      </c>
      <c r="L43" t="n">
        <v>11</v>
      </c>
      <c r="M43" t="n">
        <v>7</v>
      </c>
      <c r="O43" t="n">
        <v>1</v>
      </c>
      <c r="U43" t="n">
        <v>1</v>
      </c>
      <c r="W43" t="n">
        <v>1</v>
      </c>
      <c r="Y43" t="n">
        <v>1</v>
      </c>
      <c r="Z43" t="n">
        <v>1</v>
      </c>
      <c r="AC43" t="n">
        <v>1</v>
      </c>
      <c r="AD43" t="n">
        <v>1</v>
      </c>
      <c r="AE43" t="n">
        <v>1</v>
      </c>
      <c r="AF43" t="n">
        <v>2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ADN y cromosomas</t>
        </is>
      </c>
      <c r="B44" t="inlineStr">
        <is>
          <t>retomado</t>
        </is>
      </c>
      <c r="C44" t="n">
        <v>6</v>
      </c>
      <c r="D44" t="n">
        <v>9</v>
      </c>
      <c r="E44" t="n">
        <v>9</v>
      </c>
      <c r="F44" t="n">
        <v>8</v>
      </c>
      <c r="G44" t="n">
        <v>6</v>
      </c>
      <c r="I44" t="n">
        <v>9.5</v>
      </c>
      <c r="J44" t="n">
        <v>7</v>
      </c>
      <c r="L44" t="n">
        <v>9.5</v>
      </c>
      <c r="M44" t="n">
        <v>7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U44" t="n">
        <v>1</v>
      </c>
      <c r="V44" t="n">
        <v>1</v>
      </c>
      <c r="W44" t="n">
        <v>1</v>
      </c>
      <c r="Y44" t="n">
        <v>1</v>
      </c>
      <c r="Z44" t="n">
        <v>1</v>
      </c>
      <c r="AB44" t="n">
        <v>1</v>
      </c>
      <c r="AC44" t="n">
        <v>1</v>
      </c>
      <c r="AD44" t="n">
        <v>1</v>
      </c>
      <c r="AE44" t="n">
        <v>1</v>
      </c>
      <c r="AF44" t="n">
        <v>6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Agricultura y seguridad alimentaria</t>
        </is>
      </c>
      <c r="B45" t="inlineStr">
        <is>
          <t>retomado</t>
        </is>
      </c>
      <c r="C45" t="n">
        <v>4</v>
      </c>
      <c r="D45" t="n">
        <v>10</v>
      </c>
      <c r="F45" t="n">
        <v>8</v>
      </c>
      <c r="G45" t="n">
        <v>6</v>
      </c>
      <c r="K45" t="n">
        <v>8</v>
      </c>
      <c r="L45" t="n">
        <v>11</v>
      </c>
      <c r="M45" t="n">
        <v>7</v>
      </c>
      <c r="O45" t="n">
        <v>1</v>
      </c>
      <c r="P45" t="n">
        <v>1</v>
      </c>
      <c r="U45" t="n">
        <v>1</v>
      </c>
      <c r="X45" t="n">
        <v>1</v>
      </c>
      <c r="Y45" t="n">
        <v>1</v>
      </c>
      <c r="Z45" t="n">
        <v>1</v>
      </c>
      <c r="AC45" t="n">
        <v>1</v>
      </c>
      <c r="AD45" t="n">
        <v>1</v>
      </c>
      <c r="AF45" t="n">
        <v>4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Amenazas a la biodiversidad</t>
        </is>
      </c>
      <c r="B46" t="inlineStr">
        <is>
          <t>retomado</t>
        </is>
      </c>
      <c r="C46" t="n">
        <v>2</v>
      </c>
      <c r="D46" t="n">
        <v>9</v>
      </c>
      <c r="F46" t="n">
        <v>8</v>
      </c>
      <c r="G46" t="n">
        <v>2</v>
      </c>
      <c r="I46" t="n">
        <v>9.5</v>
      </c>
      <c r="J46" t="n">
        <v>7</v>
      </c>
      <c r="K46" t="n">
        <v>8</v>
      </c>
      <c r="L46" t="n">
        <v>11</v>
      </c>
      <c r="M46" t="n">
        <v>7</v>
      </c>
      <c r="O46" t="n">
        <v>1</v>
      </c>
      <c r="P46" t="n">
        <v>1</v>
      </c>
      <c r="R46" t="n">
        <v>1</v>
      </c>
      <c r="U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C46" t="n">
        <v>1</v>
      </c>
      <c r="AD46" t="n">
        <v>1</v>
      </c>
      <c r="AE46" t="n">
        <v>1</v>
      </c>
      <c r="AF46" t="n">
        <v>2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ATP y energía en los sistemas vivos</t>
        </is>
      </c>
      <c r="B47" t="inlineStr">
        <is>
          <t>retomado</t>
        </is>
      </c>
      <c r="C47" t="n">
        <v>6</v>
      </c>
      <c r="D47" t="n">
        <v>10</v>
      </c>
      <c r="F47" t="n">
        <v>10.5</v>
      </c>
      <c r="G47" t="n">
        <v>8.5</v>
      </c>
      <c r="I47" t="n">
        <v>9.5</v>
      </c>
      <c r="J47" t="n">
        <v>7</v>
      </c>
      <c r="L47" t="n">
        <v>9.5</v>
      </c>
      <c r="M47" t="n">
        <v>9.5</v>
      </c>
      <c r="O47" t="n">
        <v>1</v>
      </c>
      <c r="P47" t="n">
        <v>1</v>
      </c>
      <c r="R47" t="n">
        <v>1</v>
      </c>
      <c r="S47" t="n">
        <v>1</v>
      </c>
      <c r="U47" t="n">
        <v>1</v>
      </c>
      <c r="V47" t="n">
        <v>1</v>
      </c>
      <c r="W47" t="n">
        <v>1</v>
      </c>
      <c r="X47" t="n">
        <v>1</v>
      </c>
      <c r="Y47" t="n">
        <v>1</v>
      </c>
      <c r="Z47" t="n">
        <v>1</v>
      </c>
      <c r="AA47" t="n">
        <v>1</v>
      </c>
      <c r="AB47" t="n">
        <v>1</v>
      </c>
      <c r="AC47" t="n">
        <v>1</v>
      </c>
      <c r="AD47" t="n">
        <v>1</v>
      </c>
      <c r="AE47" t="n">
        <v>1</v>
      </c>
      <c r="AF47" t="n">
        <v>6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Atributos de las poblaciones</t>
        </is>
      </c>
      <c r="B48" t="inlineStr">
        <is>
          <t>retomado</t>
        </is>
      </c>
      <c r="C48" t="n">
        <v>7</v>
      </c>
      <c r="D48" t="n">
        <v>11</v>
      </c>
      <c r="F48" t="n">
        <v>8</v>
      </c>
      <c r="G48" t="n">
        <v>8.5</v>
      </c>
      <c r="O48" t="n">
        <v>1</v>
      </c>
      <c r="P48" t="n">
        <v>1</v>
      </c>
      <c r="W48" t="n">
        <v>1</v>
      </c>
      <c r="Y48" t="n">
        <v>1</v>
      </c>
      <c r="Z48" t="n">
        <v>1</v>
      </c>
      <c r="AB48" t="n">
        <v>1</v>
      </c>
      <c r="AC48" t="n">
        <v>1</v>
      </c>
      <c r="AE48" t="n">
        <v>1</v>
      </c>
      <c r="AF48" t="n">
        <v>7</v>
      </c>
      <c r="AG48" t="inlineStr">
        <is>
          <t>retomado</t>
        </is>
      </c>
      <c r="AH48" t="inlineStr">
        <is>
          <t>retomado</t>
        </is>
      </c>
    </row>
    <row r="49">
      <c r="A49" t="inlineStr">
        <is>
          <t>Biodiversidad</t>
        </is>
      </c>
      <c r="B49" t="inlineStr">
        <is>
          <t>retomado</t>
        </is>
      </c>
      <c r="C49" t="n">
        <v>2</v>
      </c>
      <c r="D49" t="n">
        <v>9</v>
      </c>
      <c r="E49" t="n">
        <v>6</v>
      </c>
      <c r="F49" t="n">
        <v>8</v>
      </c>
      <c r="G49" t="n">
        <v>2</v>
      </c>
      <c r="I49" t="n">
        <v>6</v>
      </c>
      <c r="J49" t="n">
        <v>7</v>
      </c>
      <c r="K49" t="n">
        <v>8</v>
      </c>
      <c r="L49" t="n">
        <v>11</v>
      </c>
      <c r="M49" t="n">
        <v>7</v>
      </c>
      <c r="N49" t="n">
        <v>1</v>
      </c>
      <c r="O49" t="n">
        <v>1</v>
      </c>
      <c r="P49" t="n">
        <v>1</v>
      </c>
      <c r="R49" t="n">
        <v>1</v>
      </c>
      <c r="S49" t="n">
        <v>1</v>
      </c>
      <c r="U49" t="n">
        <v>1</v>
      </c>
      <c r="V49" t="n">
        <v>1</v>
      </c>
      <c r="W49" t="n">
        <v>1</v>
      </c>
      <c r="X49" t="n">
        <v>1</v>
      </c>
      <c r="Y49" t="n">
        <v>1</v>
      </c>
      <c r="Z49" t="n">
        <v>1</v>
      </c>
      <c r="AA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2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Biomoléculas</t>
        </is>
      </c>
      <c r="B50" t="inlineStr">
        <is>
          <t>retomado</t>
        </is>
      </c>
      <c r="C50" t="n">
        <v>6</v>
      </c>
      <c r="D50" t="n">
        <v>10</v>
      </c>
      <c r="F50" t="n">
        <v>8</v>
      </c>
      <c r="G50" t="n">
        <v>8.5</v>
      </c>
      <c r="J50" t="n">
        <v>7</v>
      </c>
      <c r="L50" t="n">
        <v>9.5</v>
      </c>
      <c r="M50" t="n">
        <v>7</v>
      </c>
      <c r="O50" t="n">
        <v>1</v>
      </c>
      <c r="P50" t="n">
        <v>1</v>
      </c>
      <c r="S50" t="n">
        <v>1</v>
      </c>
      <c r="U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A50" t="n">
        <v>1</v>
      </c>
      <c r="AB50" t="n">
        <v>1</v>
      </c>
      <c r="AC50" t="n">
        <v>1</v>
      </c>
      <c r="AD50" t="n">
        <v>1</v>
      </c>
      <c r="AE50" t="n">
        <v>1</v>
      </c>
      <c r="AF50" t="n">
        <v>6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Biotecnología microbiana</t>
        </is>
      </c>
      <c r="B51" t="inlineStr">
        <is>
          <t>retomado</t>
        </is>
      </c>
      <c r="C51" t="n">
        <v>3</v>
      </c>
      <c r="D51" t="n">
        <v>9</v>
      </c>
      <c r="F51" t="n">
        <v>8</v>
      </c>
      <c r="I51" t="n">
        <v>9.5</v>
      </c>
      <c r="M51" t="n">
        <v>7</v>
      </c>
      <c r="O51" t="n">
        <v>1</v>
      </c>
      <c r="R51" t="n">
        <v>1</v>
      </c>
      <c r="V51" t="n">
        <v>1</v>
      </c>
      <c r="W51" t="n">
        <v>1</v>
      </c>
      <c r="X51" t="n">
        <v>1</v>
      </c>
      <c r="Y51" t="n">
        <v>1</v>
      </c>
      <c r="Z51" t="n">
        <v>1</v>
      </c>
      <c r="AB51" t="n">
        <v>1</v>
      </c>
      <c r="AC51" t="n">
        <v>1</v>
      </c>
      <c r="AD51" t="n">
        <v>1</v>
      </c>
      <c r="AE51" t="n">
        <v>1</v>
      </c>
      <c r="AF51" t="n">
        <v>3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Biotecnología vegetal y agroindustria</t>
        </is>
      </c>
      <c r="B52" t="inlineStr">
        <is>
          <t>retomado</t>
        </is>
      </c>
      <c r="C52" t="n">
        <v>6</v>
      </c>
      <c r="D52" t="n">
        <v>9</v>
      </c>
      <c r="F52" t="n">
        <v>8</v>
      </c>
      <c r="G52" t="n">
        <v>8.5</v>
      </c>
      <c r="M52" t="n">
        <v>7</v>
      </c>
      <c r="O52" t="n">
        <v>1</v>
      </c>
      <c r="P52" t="n">
        <v>1</v>
      </c>
      <c r="V52" t="n">
        <v>1</v>
      </c>
      <c r="X52" t="n">
        <v>1</v>
      </c>
      <c r="Y52" t="n">
        <v>1</v>
      </c>
      <c r="Z52" t="n">
        <v>1</v>
      </c>
      <c r="AB52" t="n">
        <v>1</v>
      </c>
      <c r="AC52" t="n">
        <v>1</v>
      </c>
      <c r="AD52" t="n">
        <v>1</v>
      </c>
      <c r="AE52" t="n">
        <v>1</v>
      </c>
      <c r="AF52" t="n">
        <v>6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Cadena alimentaria</t>
        </is>
      </c>
      <c r="B53" t="inlineStr">
        <is>
          <t>retomado</t>
        </is>
      </c>
      <c r="C53" t="n">
        <v>4</v>
      </c>
      <c r="D53" t="n">
        <v>10</v>
      </c>
      <c r="E53" t="n">
        <v>3</v>
      </c>
      <c r="F53" t="n">
        <v>10.5</v>
      </c>
      <c r="G53" t="n">
        <v>2</v>
      </c>
      <c r="I53" t="n">
        <v>5</v>
      </c>
      <c r="L53" t="n">
        <v>9.5</v>
      </c>
      <c r="M53" t="n">
        <v>7</v>
      </c>
      <c r="O53" t="n">
        <v>1</v>
      </c>
      <c r="U53" t="n">
        <v>1</v>
      </c>
      <c r="Y53" t="n">
        <v>1</v>
      </c>
      <c r="Z53" t="n">
        <v>1</v>
      </c>
      <c r="AD53" t="n">
        <v>1</v>
      </c>
      <c r="AF53" t="n">
        <v>4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Célula animal y célula vegetal</t>
        </is>
      </c>
      <c r="B54" t="inlineStr">
        <is>
          <t>retomado</t>
        </is>
      </c>
      <c r="C54" t="n">
        <v>6</v>
      </c>
      <c r="D54" t="n">
        <v>9</v>
      </c>
      <c r="E54" t="n">
        <v>7</v>
      </c>
      <c r="F54" t="n">
        <v>8</v>
      </c>
      <c r="G54" t="n">
        <v>6</v>
      </c>
      <c r="I54" t="n">
        <v>7</v>
      </c>
      <c r="J54" t="n">
        <v>7</v>
      </c>
      <c r="K54" t="n">
        <v>9</v>
      </c>
      <c r="L54" t="n">
        <v>9.5</v>
      </c>
      <c r="M54" t="n">
        <v>7</v>
      </c>
      <c r="O54" t="n">
        <v>1</v>
      </c>
      <c r="T54" t="n">
        <v>1</v>
      </c>
      <c r="U54" t="n">
        <v>1</v>
      </c>
      <c r="Y54" t="n">
        <v>1</v>
      </c>
      <c r="Z54" t="n">
        <v>1</v>
      </c>
      <c r="AB54" t="n">
        <v>1</v>
      </c>
      <c r="AC54" t="n">
        <v>1</v>
      </c>
      <c r="AD54" t="n">
        <v>1</v>
      </c>
      <c r="AF54" t="n">
        <v>6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Célula procariota y eucariota</t>
        </is>
      </c>
      <c r="B55" t="inlineStr">
        <is>
          <t>retomado</t>
        </is>
      </c>
      <c r="C55" t="n">
        <v>6</v>
      </c>
      <c r="D55" t="n">
        <v>9</v>
      </c>
      <c r="F55" t="n">
        <v>8</v>
      </c>
      <c r="G55" t="n">
        <v>8.5</v>
      </c>
      <c r="I55" t="n">
        <v>9.5</v>
      </c>
      <c r="L55" t="n">
        <v>11</v>
      </c>
      <c r="M55" t="n">
        <v>9.5</v>
      </c>
      <c r="O55" t="n">
        <v>1</v>
      </c>
      <c r="P55" t="n">
        <v>1</v>
      </c>
      <c r="R55" t="n">
        <v>1</v>
      </c>
      <c r="U55" t="n">
        <v>1</v>
      </c>
      <c r="V55" t="n">
        <v>1</v>
      </c>
      <c r="W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  <c r="AF55" t="n">
        <v>6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Ciclo de vida de las plantas</t>
        </is>
      </c>
      <c r="B56" t="inlineStr">
        <is>
          <t>retomado</t>
        </is>
      </c>
      <c r="C56" t="n">
        <v>2</v>
      </c>
      <c r="D56" t="n">
        <v>11</v>
      </c>
      <c r="E56" t="n">
        <v>2</v>
      </c>
      <c r="F56" t="n">
        <v>8</v>
      </c>
      <c r="G56" t="n">
        <v>2</v>
      </c>
      <c r="I56" t="n">
        <v>2</v>
      </c>
      <c r="O56" t="n">
        <v>1</v>
      </c>
      <c r="Y56" t="n">
        <v>1</v>
      </c>
      <c r="Z56" t="n">
        <v>1</v>
      </c>
      <c r="AD56" t="n">
        <v>1</v>
      </c>
      <c r="AE56" t="n">
        <v>1</v>
      </c>
      <c r="AF56" t="n">
        <v>2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Papel de los seres vivos en el ciclo del agua</t>
        </is>
      </c>
      <c r="B57" t="inlineStr">
        <is>
          <t>retomado</t>
        </is>
      </c>
      <c r="C57" t="n">
        <v>3</v>
      </c>
      <c r="D57" t="n">
        <v>10</v>
      </c>
      <c r="G57" t="n">
        <v>8.5</v>
      </c>
      <c r="I57" t="n">
        <v>5</v>
      </c>
      <c r="K57" t="n">
        <v>8</v>
      </c>
      <c r="L57" t="n">
        <v>9.5</v>
      </c>
      <c r="M57" t="n">
        <v>7</v>
      </c>
      <c r="P57" t="n">
        <v>1</v>
      </c>
      <c r="U57" t="n">
        <v>1</v>
      </c>
      <c r="Y57" t="n">
        <v>1</v>
      </c>
      <c r="AD57" t="n">
        <v>1</v>
      </c>
      <c r="AE57" t="n">
        <v>1</v>
      </c>
      <c r="AF57" t="n">
        <v>7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Ciclos del carbono y del oxígeno</t>
        </is>
      </c>
      <c r="B58" t="inlineStr">
        <is>
          <t>retomado</t>
        </is>
      </c>
      <c r="C58" t="n">
        <v>6</v>
      </c>
      <c r="D58" t="n">
        <v>9</v>
      </c>
      <c r="E58" t="n">
        <v>8</v>
      </c>
      <c r="F58" t="n">
        <v>8</v>
      </c>
      <c r="G58" t="n">
        <v>6</v>
      </c>
      <c r="I58" t="n">
        <v>5</v>
      </c>
      <c r="J58" t="n">
        <v>7</v>
      </c>
      <c r="K58" t="n">
        <v>8</v>
      </c>
      <c r="L58" t="n">
        <v>9.5</v>
      </c>
      <c r="M58" t="n">
        <v>7</v>
      </c>
      <c r="O58" t="n">
        <v>1</v>
      </c>
      <c r="P58" t="n">
        <v>1</v>
      </c>
      <c r="R58" t="n">
        <v>1</v>
      </c>
      <c r="T58" t="n">
        <v>1</v>
      </c>
      <c r="U58" t="n">
        <v>1</v>
      </c>
      <c r="V58" t="n">
        <v>1</v>
      </c>
      <c r="W58" t="n">
        <v>1</v>
      </c>
      <c r="X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E58" t="n">
        <v>1</v>
      </c>
      <c r="AF58" t="n">
        <v>8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Clasificación jerárquica y nomenclatura</t>
        </is>
      </c>
      <c r="B59" t="inlineStr">
        <is>
          <t>retomado</t>
        </is>
      </c>
      <c r="C59" t="n">
        <v>7</v>
      </c>
      <c r="D59" t="n">
        <v>10</v>
      </c>
      <c r="E59" t="n">
        <v>6</v>
      </c>
      <c r="G59" t="n">
        <v>8.5</v>
      </c>
      <c r="J59" t="n">
        <v>7</v>
      </c>
      <c r="M59" t="n">
        <v>7</v>
      </c>
      <c r="P59" t="n">
        <v>1</v>
      </c>
      <c r="V59" t="n">
        <v>1</v>
      </c>
      <c r="W59" t="n">
        <v>1</v>
      </c>
      <c r="Y59" t="n">
        <v>1</v>
      </c>
      <c r="Z59" t="n">
        <v>1</v>
      </c>
      <c r="AB59" t="n">
        <v>1</v>
      </c>
      <c r="AC59" t="n">
        <v>1</v>
      </c>
      <c r="AD59" t="n">
        <v>1</v>
      </c>
      <c r="AF59" t="n">
        <v>7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Concepto de especie</t>
        </is>
      </c>
      <c r="B60" t="inlineStr">
        <is>
          <t>retomado</t>
        </is>
      </c>
      <c r="C60" t="n">
        <v>7</v>
      </c>
      <c r="D60" t="n">
        <v>11</v>
      </c>
      <c r="F60" t="n">
        <v>10.5</v>
      </c>
      <c r="G60" t="n">
        <v>6</v>
      </c>
      <c r="J60" t="n">
        <v>7</v>
      </c>
      <c r="L60" t="n">
        <v>11</v>
      </c>
      <c r="O60" t="n">
        <v>1</v>
      </c>
      <c r="U60" t="n">
        <v>1</v>
      </c>
      <c r="W60" t="n">
        <v>1</v>
      </c>
      <c r="Y60" t="n">
        <v>1</v>
      </c>
      <c r="Z60" t="n">
        <v>1</v>
      </c>
      <c r="AC60" t="n">
        <v>1</v>
      </c>
      <c r="AD60" t="n">
        <v>1</v>
      </c>
      <c r="AE60" t="n">
        <v>1</v>
      </c>
      <c r="AF60" t="n">
        <v>7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Conservación de la biodiversidad</t>
        </is>
      </c>
      <c r="B61" t="inlineStr">
        <is>
          <t>retomado</t>
        </is>
      </c>
      <c r="C61" t="n">
        <v>2</v>
      </c>
      <c r="D61" t="n">
        <v>9</v>
      </c>
      <c r="F61" t="n">
        <v>8</v>
      </c>
      <c r="G61" t="n">
        <v>6</v>
      </c>
      <c r="I61" t="n">
        <v>8</v>
      </c>
      <c r="J61" t="n">
        <v>7</v>
      </c>
      <c r="K61" t="n">
        <v>8</v>
      </c>
      <c r="L61" t="n">
        <v>11</v>
      </c>
      <c r="M61" t="n">
        <v>7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Y61" t="n">
        <v>1</v>
      </c>
      <c r="Z61" t="n">
        <v>1</v>
      </c>
      <c r="AD61" t="n">
        <v>1</v>
      </c>
      <c r="AE61" t="n">
        <v>1</v>
      </c>
      <c r="AF61" t="n">
        <v>2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Conservación e inocuidad de los alimentos</t>
        </is>
      </c>
      <c r="B62" t="inlineStr">
        <is>
          <t>retomado</t>
        </is>
      </c>
      <c r="C62" t="n">
        <v>2</v>
      </c>
      <c r="D62" t="n">
        <v>10</v>
      </c>
      <c r="F62" t="n">
        <v>8</v>
      </c>
      <c r="O62" t="n">
        <v>1</v>
      </c>
      <c r="Z62" t="n">
        <v>1</v>
      </c>
      <c r="AF62" t="n">
        <v>2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Contagio y prevención de enfermedades</t>
        </is>
      </c>
      <c r="B63" t="inlineStr">
        <is>
          <t>retomado</t>
        </is>
      </c>
      <c r="C63" t="n">
        <v>2</v>
      </c>
      <c r="D63" t="n">
        <v>9</v>
      </c>
      <c r="F63" t="n">
        <v>8</v>
      </c>
      <c r="G63" t="n">
        <v>8.5</v>
      </c>
      <c r="K63" t="n">
        <v>9</v>
      </c>
      <c r="L63" t="n">
        <v>9.5</v>
      </c>
      <c r="O63" t="n">
        <v>1</v>
      </c>
      <c r="P63" t="n">
        <v>1</v>
      </c>
      <c r="T63" t="n">
        <v>1</v>
      </c>
      <c r="U63" t="n">
        <v>1</v>
      </c>
      <c r="W63" t="n">
        <v>1</v>
      </c>
      <c r="Y63" t="n">
        <v>1</v>
      </c>
      <c r="Z63" t="n">
        <v>1</v>
      </c>
      <c r="AD63" t="n">
        <v>1</v>
      </c>
      <c r="AF63" t="n">
        <v>2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Contaminación y sus efectos en los seres vivos</t>
        </is>
      </c>
      <c r="B64" t="inlineStr">
        <is>
          <t>retomado</t>
        </is>
      </c>
      <c r="C64" t="n">
        <v>2</v>
      </c>
      <c r="D64" t="n">
        <v>9</v>
      </c>
      <c r="G64" t="n">
        <v>6</v>
      </c>
      <c r="K64" t="n">
        <v>8</v>
      </c>
      <c r="L64" t="n">
        <v>9.5</v>
      </c>
      <c r="M64" t="n">
        <v>7</v>
      </c>
      <c r="U64" t="n">
        <v>1</v>
      </c>
      <c r="W64" t="n">
        <v>1</v>
      </c>
      <c r="Z64" t="n">
        <v>1</v>
      </c>
      <c r="AB64" t="n">
        <v>1</v>
      </c>
      <c r="AC64" t="n">
        <v>1</v>
      </c>
      <c r="AD64" t="n">
        <v>1</v>
      </c>
      <c r="AF64" t="n">
        <v>2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Crecimiento poblacional</t>
        </is>
      </c>
      <c r="B65" t="inlineStr">
        <is>
          <t>retomado</t>
        </is>
      </c>
      <c r="C65" t="n">
        <v>6</v>
      </c>
      <c r="D65" t="n">
        <v>11</v>
      </c>
      <c r="F65" t="n">
        <v>8</v>
      </c>
      <c r="G65" t="n">
        <v>8.5</v>
      </c>
      <c r="J65" t="n">
        <v>9</v>
      </c>
      <c r="M65" t="n">
        <v>7</v>
      </c>
      <c r="O65" t="n">
        <v>1</v>
      </c>
      <c r="P65" t="n">
        <v>1</v>
      </c>
      <c r="S65" t="n">
        <v>1</v>
      </c>
      <c r="Y65" t="n">
        <v>1</v>
      </c>
      <c r="Z65" t="n">
        <v>1</v>
      </c>
      <c r="AA65" t="n">
        <v>1</v>
      </c>
      <c r="AC65" t="n">
        <v>1</v>
      </c>
      <c r="AE65" t="n">
        <v>1</v>
      </c>
      <c r="AF65" t="n">
        <v>7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Depredación</t>
        </is>
      </c>
      <c r="B66" t="inlineStr">
        <is>
          <t>retomado</t>
        </is>
      </c>
      <c r="C66" t="n">
        <v>4</v>
      </c>
      <c r="D66" t="n">
        <v>11</v>
      </c>
      <c r="F66" t="n">
        <v>10.5</v>
      </c>
      <c r="G66" t="n">
        <v>2</v>
      </c>
      <c r="I66" t="n">
        <v>5</v>
      </c>
      <c r="J66" t="n">
        <v>9</v>
      </c>
      <c r="O66" t="n">
        <v>1</v>
      </c>
      <c r="P66" t="n">
        <v>1</v>
      </c>
      <c r="R66" t="n">
        <v>1</v>
      </c>
      <c r="S66" t="n">
        <v>1</v>
      </c>
      <c r="W66" t="n">
        <v>1</v>
      </c>
      <c r="Z66" t="n">
        <v>1</v>
      </c>
      <c r="AB66" t="n">
        <v>1</v>
      </c>
      <c r="AC66" t="n">
        <v>1</v>
      </c>
      <c r="AE66" t="n">
        <v>1</v>
      </c>
      <c r="AF66" t="n">
        <v>4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Diferenciación y especialización celular</t>
        </is>
      </c>
      <c r="B67" t="inlineStr">
        <is>
          <t>retomado</t>
        </is>
      </c>
      <c r="C67" t="n">
        <v>6</v>
      </c>
      <c r="D67" t="n">
        <v>10</v>
      </c>
      <c r="E67" t="n">
        <v>7</v>
      </c>
      <c r="F67" t="n">
        <v>10.5</v>
      </c>
      <c r="G67" t="n">
        <v>6</v>
      </c>
      <c r="J67" t="n">
        <v>7</v>
      </c>
      <c r="K67" t="n">
        <v>9</v>
      </c>
      <c r="L67" t="n">
        <v>9.5</v>
      </c>
      <c r="M67" t="n">
        <v>9.5</v>
      </c>
      <c r="O67" t="n">
        <v>1</v>
      </c>
      <c r="P67" t="n">
        <v>1</v>
      </c>
      <c r="T67" t="n">
        <v>1</v>
      </c>
      <c r="U67" t="n">
        <v>1</v>
      </c>
      <c r="V67" t="n">
        <v>1</v>
      </c>
      <c r="W67" t="n">
        <v>1</v>
      </c>
      <c r="X67" t="n">
        <v>1</v>
      </c>
      <c r="Y67" t="n">
        <v>1</v>
      </c>
      <c r="Z67" t="n">
        <v>1</v>
      </c>
      <c r="AA67" t="n">
        <v>1</v>
      </c>
      <c r="AB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Difusión y ósmosis</t>
        </is>
      </c>
      <c r="B68" t="inlineStr">
        <is>
          <t>retomado</t>
        </is>
      </c>
      <c r="C68" t="n">
        <v>6</v>
      </c>
      <c r="D68" t="n">
        <v>9</v>
      </c>
      <c r="F68" t="n">
        <v>10.5</v>
      </c>
      <c r="G68" t="n">
        <v>6</v>
      </c>
      <c r="J68" t="n">
        <v>9</v>
      </c>
      <c r="L68" t="n">
        <v>9.5</v>
      </c>
      <c r="O68" t="n">
        <v>1</v>
      </c>
      <c r="P68" t="n">
        <v>1</v>
      </c>
      <c r="S68" t="n">
        <v>1</v>
      </c>
      <c r="U68" t="n">
        <v>1</v>
      </c>
      <c r="W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E68" t="n">
        <v>1</v>
      </c>
      <c r="AF68" t="n">
        <v>6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Digestión química y absorción de nutrientes</t>
        </is>
      </c>
      <c r="B69" t="inlineStr">
        <is>
          <t>retomado</t>
        </is>
      </c>
      <c r="C69" t="n">
        <v>8</v>
      </c>
      <c r="D69" t="n">
        <v>10</v>
      </c>
      <c r="F69" t="n">
        <v>8</v>
      </c>
      <c r="G69" t="n">
        <v>4</v>
      </c>
      <c r="I69" t="n">
        <v>5</v>
      </c>
      <c r="J69" t="n">
        <v>7</v>
      </c>
      <c r="L69" t="n">
        <v>9.5</v>
      </c>
      <c r="M69" t="n">
        <v>7</v>
      </c>
      <c r="O69" t="n">
        <v>1</v>
      </c>
      <c r="U69" t="n">
        <v>1</v>
      </c>
      <c r="W69" t="n">
        <v>1</v>
      </c>
      <c r="Z69" t="n">
        <v>1</v>
      </c>
      <c r="AB69" t="n">
        <v>1</v>
      </c>
      <c r="AC69" t="n">
        <v>1</v>
      </c>
      <c r="AD69" t="n">
        <v>1</v>
      </c>
      <c r="AF69" t="n">
        <v>8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Diversidad genética de poblaciones</t>
        </is>
      </c>
      <c r="B70" t="inlineStr">
        <is>
          <t>retomado</t>
        </is>
      </c>
      <c r="C70" t="n">
        <v>7</v>
      </c>
      <c r="D70" t="n">
        <v>11</v>
      </c>
      <c r="F70" t="n">
        <v>10.5</v>
      </c>
      <c r="G70" t="n">
        <v>8.5</v>
      </c>
      <c r="J70" t="n">
        <v>7</v>
      </c>
      <c r="L70" t="n">
        <v>11</v>
      </c>
      <c r="O70" t="n">
        <v>1</v>
      </c>
      <c r="P70" t="n">
        <v>1</v>
      </c>
      <c r="S70" t="n">
        <v>1</v>
      </c>
      <c r="U70" t="n">
        <v>1</v>
      </c>
      <c r="W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  <c r="AE70" t="n">
        <v>1</v>
      </c>
      <c r="AF70" t="n">
        <v>7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Ecosistemas acuáticos y marinos</t>
        </is>
      </c>
      <c r="B71" t="inlineStr">
        <is>
          <t>retomado</t>
        </is>
      </c>
      <c r="C71" t="n">
        <v>4</v>
      </c>
      <c r="D71" t="n">
        <v>9</v>
      </c>
      <c r="L71" t="n">
        <v>9.5</v>
      </c>
      <c r="U71" t="n">
        <v>1</v>
      </c>
      <c r="Z71" t="n">
        <v>1</v>
      </c>
      <c r="AC71" t="n">
        <v>1</v>
      </c>
      <c r="AD71" t="n">
        <v>1</v>
      </c>
      <c r="AE71" t="n">
        <v>1</v>
      </c>
      <c r="AF71" t="n">
        <v>7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Energía de los alimentos y balance energético</t>
        </is>
      </c>
      <c r="B72" t="inlineStr">
        <is>
          <t>retomado</t>
        </is>
      </c>
      <c r="C72" t="n">
        <v>4</v>
      </c>
      <c r="D72" t="n">
        <v>9</v>
      </c>
      <c r="F72" t="n">
        <v>8</v>
      </c>
      <c r="G72" t="n">
        <v>6</v>
      </c>
      <c r="L72" t="n">
        <v>9.5</v>
      </c>
      <c r="O72" t="n">
        <v>1</v>
      </c>
      <c r="U72" t="n">
        <v>1</v>
      </c>
      <c r="X72" t="n">
        <v>1</v>
      </c>
      <c r="Z72" t="n">
        <v>1</v>
      </c>
      <c r="AB72" t="n">
        <v>1</v>
      </c>
      <c r="AC72" t="n">
        <v>1</v>
      </c>
      <c r="AD72" t="n">
        <v>1</v>
      </c>
      <c r="AF72" t="n">
        <v>4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Enfermedades infecciosas y no infecciosas</t>
        </is>
      </c>
      <c r="B73" t="inlineStr">
        <is>
          <t>retomado</t>
        </is>
      </c>
      <c r="C73" t="n">
        <v>3</v>
      </c>
      <c r="D73" t="n">
        <v>9</v>
      </c>
      <c r="F73" t="n">
        <v>8</v>
      </c>
      <c r="G73" t="n">
        <v>6</v>
      </c>
      <c r="J73" t="n">
        <v>9</v>
      </c>
      <c r="K73" t="n">
        <v>9</v>
      </c>
      <c r="L73" t="n">
        <v>9.5</v>
      </c>
      <c r="O73" t="n">
        <v>1</v>
      </c>
      <c r="P73" t="n">
        <v>1</v>
      </c>
      <c r="S73" t="n">
        <v>1</v>
      </c>
      <c r="T73" t="n">
        <v>1</v>
      </c>
      <c r="U73" t="n">
        <v>1</v>
      </c>
      <c r="W73" t="n">
        <v>1</v>
      </c>
      <c r="X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  <c r="AF73" t="n">
        <v>3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Enzimas</t>
        </is>
      </c>
      <c r="B74" t="inlineStr">
        <is>
          <t>retomado</t>
        </is>
      </c>
      <c r="C74" t="n">
        <v>6</v>
      </c>
      <c r="D74" t="n">
        <v>10</v>
      </c>
      <c r="F74" t="n">
        <v>10.5</v>
      </c>
      <c r="G74" t="n">
        <v>6</v>
      </c>
      <c r="I74" t="n">
        <v>9.5</v>
      </c>
      <c r="J74" t="n">
        <v>7</v>
      </c>
      <c r="L74" t="n">
        <v>9.5</v>
      </c>
      <c r="M74" t="n">
        <v>7</v>
      </c>
      <c r="O74" t="n">
        <v>1</v>
      </c>
      <c r="P74" t="n">
        <v>1</v>
      </c>
      <c r="R74" t="n">
        <v>1</v>
      </c>
      <c r="S74" t="n">
        <v>1</v>
      </c>
      <c r="U74" t="n">
        <v>1</v>
      </c>
      <c r="W74" t="n">
        <v>1</v>
      </c>
      <c r="X74" t="n">
        <v>1</v>
      </c>
      <c r="Y74" t="n">
        <v>1</v>
      </c>
      <c r="Z74" t="n">
        <v>1</v>
      </c>
      <c r="AA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6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Estrategias reproductivas y supervivencia de la descendencia</t>
        </is>
      </c>
      <c r="B75" t="inlineStr">
        <is>
          <t>retomado</t>
        </is>
      </c>
      <c r="C75" t="n">
        <v>3</v>
      </c>
      <c r="D75" t="n">
        <v>11</v>
      </c>
      <c r="F75" t="n">
        <v>8</v>
      </c>
      <c r="O75" t="n">
        <v>1</v>
      </c>
      <c r="Y75" t="n">
        <v>1</v>
      </c>
      <c r="Z75" t="n">
        <v>1</v>
      </c>
      <c r="AF75" t="n">
        <v>3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Estructura del ADN</t>
        </is>
      </c>
      <c r="B76" t="inlineStr">
        <is>
          <t>retomado</t>
        </is>
      </c>
      <c r="C76" t="n">
        <v>6</v>
      </c>
      <c r="D76" t="n">
        <v>9</v>
      </c>
      <c r="F76" t="n">
        <v>10.5</v>
      </c>
      <c r="G76" t="n">
        <v>6</v>
      </c>
      <c r="I76" t="n">
        <v>9.5</v>
      </c>
      <c r="J76" t="n">
        <v>9</v>
      </c>
      <c r="L76" t="n">
        <v>9.5</v>
      </c>
      <c r="M76" t="n">
        <v>9.5</v>
      </c>
      <c r="O76" t="n">
        <v>1</v>
      </c>
      <c r="P76" t="n">
        <v>1</v>
      </c>
      <c r="R76" t="n">
        <v>1</v>
      </c>
      <c r="S76" t="n">
        <v>1</v>
      </c>
      <c r="U76" t="n">
        <v>1</v>
      </c>
      <c r="V76" t="n">
        <v>1</v>
      </c>
      <c r="W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  <c r="AF76" t="n">
        <v>6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Estructuras celulares básicas</t>
        </is>
      </c>
      <c r="B77" t="inlineStr">
        <is>
          <t>retomado</t>
        </is>
      </c>
      <c r="C77" t="n">
        <v>6</v>
      </c>
      <c r="D77" t="n">
        <v>9</v>
      </c>
      <c r="E77" t="n">
        <v>7</v>
      </c>
      <c r="F77" t="n">
        <v>8</v>
      </c>
      <c r="G77" t="n">
        <v>6</v>
      </c>
      <c r="J77" t="n">
        <v>7</v>
      </c>
      <c r="K77" t="n">
        <v>9</v>
      </c>
      <c r="L77" t="n">
        <v>9.5</v>
      </c>
      <c r="M77" t="n">
        <v>7</v>
      </c>
      <c r="O77" t="n">
        <v>1</v>
      </c>
      <c r="P77" t="n">
        <v>1</v>
      </c>
      <c r="T77" t="n">
        <v>1</v>
      </c>
      <c r="U77" t="n">
        <v>1</v>
      </c>
      <c r="V77" t="n">
        <v>1</v>
      </c>
      <c r="W77" t="n">
        <v>1</v>
      </c>
      <c r="Y77" t="n">
        <v>1</v>
      </c>
      <c r="Z77" t="n">
        <v>1</v>
      </c>
      <c r="AA77" t="n">
        <v>1</v>
      </c>
      <c r="AB77" t="n">
        <v>1</v>
      </c>
      <c r="AC77" t="n">
        <v>1</v>
      </c>
      <c r="AD77" t="n">
        <v>1</v>
      </c>
      <c r="AF77" t="n">
        <v>6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Estructuras del cuerpo animal y su función</t>
        </is>
      </c>
      <c r="B78" t="inlineStr">
        <is>
          <t>retomado</t>
        </is>
      </c>
      <c r="C78" t="n">
        <v>2</v>
      </c>
      <c r="D78" t="n">
        <v>10</v>
      </c>
      <c r="E78" t="n">
        <v>7</v>
      </c>
      <c r="F78" t="n">
        <v>8</v>
      </c>
      <c r="G78" t="n">
        <v>2</v>
      </c>
      <c r="I78" t="n">
        <v>3</v>
      </c>
      <c r="K78" t="n">
        <v>9</v>
      </c>
      <c r="L78" t="n">
        <v>9.5</v>
      </c>
      <c r="M78" t="n">
        <v>7</v>
      </c>
      <c r="O78" t="n">
        <v>1</v>
      </c>
      <c r="P78" t="n">
        <v>1</v>
      </c>
      <c r="R78" t="n">
        <v>1</v>
      </c>
      <c r="T78" t="n">
        <v>1</v>
      </c>
      <c r="U78" t="n">
        <v>1</v>
      </c>
      <c r="W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  <c r="AE78" t="n">
        <v>1</v>
      </c>
      <c r="AF78" t="n">
        <v>2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Extinción de especies</t>
        </is>
      </c>
      <c r="B79" t="inlineStr">
        <is>
          <t>retomado</t>
        </is>
      </c>
      <c r="C79" t="n">
        <v>5</v>
      </c>
      <c r="D79" t="n">
        <v>11</v>
      </c>
      <c r="F79" t="n">
        <v>8</v>
      </c>
      <c r="G79" t="n">
        <v>6</v>
      </c>
      <c r="I79" t="n">
        <v>9.5</v>
      </c>
      <c r="J79" t="n">
        <v>9</v>
      </c>
      <c r="M79" t="n">
        <v>7</v>
      </c>
      <c r="O79" t="n">
        <v>1</v>
      </c>
      <c r="R79" t="n">
        <v>1</v>
      </c>
      <c r="S79" t="n">
        <v>1</v>
      </c>
      <c r="W79" t="n">
        <v>1</v>
      </c>
      <c r="X79" t="n">
        <v>1</v>
      </c>
      <c r="Z79" t="n">
        <v>1</v>
      </c>
      <c r="AC79" t="n">
        <v>1</v>
      </c>
      <c r="AF79" t="n">
        <v>5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Factores bióticos y abióticos</t>
        </is>
      </c>
      <c r="B80" t="inlineStr">
        <is>
          <t>retomado</t>
        </is>
      </c>
      <c r="C80" t="n">
        <v>4</v>
      </c>
      <c r="D80" t="n">
        <v>9</v>
      </c>
      <c r="E80" t="n">
        <v>5</v>
      </c>
      <c r="F80" t="n">
        <v>8</v>
      </c>
      <c r="G80" t="n">
        <v>6</v>
      </c>
      <c r="I80" t="n">
        <v>5</v>
      </c>
      <c r="J80" t="n">
        <v>7</v>
      </c>
      <c r="L80" t="n">
        <v>9.5</v>
      </c>
      <c r="M80" t="n">
        <v>7</v>
      </c>
      <c r="O80" t="n">
        <v>1</v>
      </c>
      <c r="P80" t="n">
        <v>1</v>
      </c>
      <c r="R80" t="n">
        <v>1</v>
      </c>
      <c r="S80" t="n">
        <v>1</v>
      </c>
      <c r="U80" t="n">
        <v>1</v>
      </c>
      <c r="W80" t="n">
        <v>1</v>
      </c>
      <c r="Y80" t="n">
        <v>1</v>
      </c>
      <c r="Z80" t="n">
        <v>1</v>
      </c>
      <c r="AA80" t="n">
        <v>1</v>
      </c>
      <c r="AC80" t="n">
        <v>1</v>
      </c>
      <c r="AD80" t="n">
        <v>1</v>
      </c>
      <c r="AE80" t="n">
        <v>1</v>
      </c>
      <c r="AF80" t="n">
        <v>4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Factores limitantes de las poblaciones</t>
        </is>
      </c>
      <c r="B81" t="inlineStr">
        <is>
          <t>retomado</t>
        </is>
      </c>
      <c r="C81" t="n">
        <v>7</v>
      </c>
      <c r="D81" t="n">
        <v>11</v>
      </c>
      <c r="F81" t="n">
        <v>8</v>
      </c>
      <c r="G81" t="n">
        <v>8.5</v>
      </c>
      <c r="J81" t="n">
        <v>9</v>
      </c>
      <c r="M81" t="n">
        <v>7</v>
      </c>
      <c r="O81" t="n">
        <v>1</v>
      </c>
      <c r="P81" t="n">
        <v>1</v>
      </c>
      <c r="S81" t="n">
        <v>1</v>
      </c>
      <c r="W81" t="n">
        <v>1</v>
      </c>
      <c r="Y81" t="n">
        <v>1</v>
      </c>
      <c r="Z81" t="n">
        <v>1</v>
      </c>
      <c r="AA81" t="n">
        <v>1</v>
      </c>
      <c r="AC81" t="n">
        <v>1</v>
      </c>
      <c r="AE81" t="n">
        <v>1</v>
      </c>
      <c r="AF81" t="n">
        <v>7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Fecundación y desarrollo embrionario</t>
        </is>
      </c>
      <c r="B82" t="inlineStr">
        <is>
          <t>retomado</t>
        </is>
      </c>
      <c r="C82" t="n">
        <v>6</v>
      </c>
      <c r="D82" t="n">
        <v>9</v>
      </c>
      <c r="F82" t="n">
        <v>8</v>
      </c>
      <c r="G82" t="n">
        <v>6</v>
      </c>
      <c r="I82" t="n">
        <v>4</v>
      </c>
      <c r="J82" t="n">
        <v>7</v>
      </c>
      <c r="L82" t="n">
        <v>9.5</v>
      </c>
      <c r="M82" t="n">
        <v>9.5</v>
      </c>
      <c r="O82" t="n">
        <v>1</v>
      </c>
      <c r="U82" t="n">
        <v>1</v>
      </c>
      <c r="V82" t="n">
        <v>1</v>
      </c>
      <c r="W82" t="n">
        <v>1</v>
      </c>
      <c r="X82" t="n">
        <v>1</v>
      </c>
      <c r="Y82" t="n">
        <v>1</v>
      </c>
      <c r="Z82" t="n">
        <v>1</v>
      </c>
      <c r="AA82" t="n">
        <v>1</v>
      </c>
      <c r="AB82" t="n">
        <v>1</v>
      </c>
      <c r="AD82" t="n">
        <v>1</v>
      </c>
      <c r="AE82" t="n">
        <v>1</v>
      </c>
      <c r="AF82" t="n">
        <v>6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Fermentación y respiración anaerobia</t>
        </is>
      </c>
      <c r="B83" t="inlineStr">
        <is>
          <t>retomado</t>
        </is>
      </c>
      <c r="C83" t="n">
        <v>3</v>
      </c>
      <c r="D83" t="n">
        <v>10</v>
      </c>
      <c r="F83" t="n">
        <v>10.5</v>
      </c>
      <c r="G83" t="n">
        <v>6</v>
      </c>
      <c r="L83" t="n">
        <v>9.5</v>
      </c>
      <c r="M83" t="n">
        <v>7</v>
      </c>
      <c r="O83" t="n">
        <v>1</v>
      </c>
      <c r="P83" t="n">
        <v>1</v>
      </c>
      <c r="U83" t="n">
        <v>1</v>
      </c>
      <c r="Y83" t="n">
        <v>1</v>
      </c>
      <c r="Z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3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Filogenia y parentesco evolutivo</t>
        </is>
      </c>
      <c r="B84" t="inlineStr">
        <is>
          <t>retomado</t>
        </is>
      </c>
      <c r="C84" t="n">
        <v>7</v>
      </c>
      <c r="D84" t="n">
        <v>9</v>
      </c>
      <c r="F84" t="n">
        <v>8</v>
      </c>
      <c r="G84" t="n">
        <v>8.5</v>
      </c>
      <c r="I84" t="n">
        <v>9.5</v>
      </c>
      <c r="M84" t="n">
        <v>9.5</v>
      </c>
      <c r="O84" t="n">
        <v>1</v>
      </c>
      <c r="P84" t="n">
        <v>1</v>
      </c>
      <c r="R84" t="n">
        <v>1</v>
      </c>
      <c r="V84" t="n">
        <v>1</v>
      </c>
      <c r="W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F84" t="n">
        <v>7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Flujo de energía y pirámides ecológicas</t>
        </is>
      </c>
      <c r="B85" t="inlineStr">
        <is>
          <t>retomado</t>
        </is>
      </c>
      <c r="C85" t="n">
        <v>7</v>
      </c>
      <c r="D85" t="n">
        <v>10</v>
      </c>
      <c r="E85" t="n">
        <v>6</v>
      </c>
      <c r="F85" t="n">
        <v>10.5</v>
      </c>
      <c r="G85" t="n">
        <v>8.5</v>
      </c>
      <c r="J85" t="n">
        <v>9</v>
      </c>
      <c r="K85" t="n">
        <v>8</v>
      </c>
      <c r="L85" t="n">
        <v>9.5</v>
      </c>
      <c r="M85" t="n">
        <v>7</v>
      </c>
      <c r="O85" t="n">
        <v>1</v>
      </c>
      <c r="P85" t="n">
        <v>1</v>
      </c>
      <c r="S85" t="n">
        <v>1</v>
      </c>
      <c r="U85" t="n">
        <v>1</v>
      </c>
      <c r="V85" t="n">
        <v>1</v>
      </c>
      <c r="W85" t="n">
        <v>1</v>
      </c>
      <c r="X85" t="n">
        <v>1</v>
      </c>
      <c r="Y85" t="n">
        <v>1</v>
      </c>
      <c r="Z85" t="n">
        <v>1</v>
      </c>
      <c r="AA85" t="n">
        <v>1</v>
      </c>
      <c r="AB85" t="n">
        <v>1</v>
      </c>
      <c r="AC85" t="n">
        <v>1</v>
      </c>
      <c r="AD85" t="n">
        <v>1</v>
      </c>
      <c r="AE85" t="n">
        <v>1</v>
      </c>
      <c r="AF85" t="n">
        <v>7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Fósiles y registro fósil</t>
        </is>
      </c>
      <c r="B86" t="inlineStr">
        <is>
          <t>retomado</t>
        </is>
      </c>
      <c r="C86" t="n">
        <v>3</v>
      </c>
      <c r="D86" t="n">
        <v>9</v>
      </c>
      <c r="F86" t="n">
        <v>8</v>
      </c>
      <c r="G86" t="n">
        <v>2</v>
      </c>
      <c r="I86" t="n">
        <v>5</v>
      </c>
      <c r="J86" t="n">
        <v>9</v>
      </c>
      <c r="M86" t="n">
        <v>7</v>
      </c>
      <c r="O86" t="n">
        <v>1</v>
      </c>
      <c r="P86" t="n">
        <v>1</v>
      </c>
      <c r="R86" t="n">
        <v>1</v>
      </c>
      <c r="S86" t="n">
        <v>1</v>
      </c>
      <c r="V86" t="n">
        <v>1</v>
      </c>
      <c r="W86" t="n">
        <v>1</v>
      </c>
      <c r="Y86" t="n">
        <v>1</v>
      </c>
      <c r="Z86" t="n">
        <v>1</v>
      </c>
      <c r="AB86" t="n">
        <v>1</v>
      </c>
      <c r="AC86" t="n">
        <v>1</v>
      </c>
      <c r="AE86" t="n">
        <v>1</v>
      </c>
      <c r="AF86" t="n">
        <v>3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Fotosíntesis</t>
        </is>
      </c>
      <c r="B87" t="inlineStr">
        <is>
          <t>retomado</t>
        </is>
      </c>
      <c r="C87" t="n">
        <v>6</v>
      </c>
      <c r="D87" t="n">
        <v>9</v>
      </c>
      <c r="E87" t="n">
        <v>8</v>
      </c>
      <c r="F87" t="n">
        <v>8</v>
      </c>
      <c r="G87" t="n">
        <v>6</v>
      </c>
      <c r="I87" t="n">
        <v>5</v>
      </c>
      <c r="J87" t="n">
        <v>7</v>
      </c>
      <c r="K87" t="n">
        <v>8</v>
      </c>
      <c r="L87" t="n">
        <v>9.5</v>
      </c>
      <c r="M87" t="n">
        <v>7</v>
      </c>
      <c r="O87" t="n">
        <v>1</v>
      </c>
      <c r="P87" t="n">
        <v>1</v>
      </c>
      <c r="R87" t="n">
        <v>1</v>
      </c>
      <c r="U87" t="n">
        <v>1</v>
      </c>
      <c r="V87" t="n">
        <v>1</v>
      </c>
      <c r="W87" t="n">
        <v>1</v>
      </c>
      <c r="X87" t="n">
        <v>1</v>
      </c>
      <c r="Y87" t="n">
        <v>1</v>
      </c>
      <c r="Z87" t="n">
        <v>1</v>
      </c>
      <c r="AA87" t="n">
        <v>1</v>
      </c>
      <c r="AB87" t="n">
        <v>1</v>
      </c>
      <c r="AC87" t="n">
        <v>1</v>
      </c>
      <c r="AD87" t="n">
        <v>1</v>
      </c>
      <c r="AE87" t="n">
        <v>1</v>
      </c>
      <c r="AF87" t="n">
        <v>6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Genes y alelos</t>
        </is>
      </c>
      <c r="B88" t="inlineStr">
        <is>
          <t>retomado</t>
        </is>
      </c>
      <c r="C88" t="n">
        <v>6</v>
      </c>
      <c r="D88" t="n">
        <v>9</v>
      </c>
      <c r="E88" t="n">
        <v>9</v>
      </c>
      <c r="F88" t="n">
        <v>8</v>
      </c>
      <c r="G88" t="n">
        <v>6</v>
      </c>
      <c r="I88" t="n">
        <v>8</v>
      </c>
      <c r="J88" t="n">
        <v>7</v>
      </c>
      <c r="L88" t="n">
        <v>9.5</v>
      </c>
      <c r="M88" t="n">
        <v>9.5</v>
      </c>
      <c r="N88" t="n">
        <v>1</v>
      </c>
      <c r="O88" t="n">
        <v>1</v>
      </c>
      <c r="P88" t="n">
        <v>1</v>
      </c>
      <c r="R88" t="n">
        <v>1</v>
      </c>
      <c r="S88" t="n">
        <v>1</v>
      </c>
      <c r="U88" t="n">
        <v>1</v>
      </c>
      <c r="V88" t="n">
        <v>1</v>
      </c>
      <c r="W88" t="n">
        <v>1</v>
      </c>
      <c r="Y88" t="n">
        <v>1</v>
      </c>
      <c r="Z88" t="n">
        <v>1</v>
      </c>
      <c r="AA88" t="n">
        <v>1</v>
      </c>
      <c r="AB88" t="n">
        <v>1</v>
      </c>
      <c r="AC88" t="n">
        <v>1</v>
      </c>
      <c r="AD88" t="n">
        <v>1</v>
      </c>
      <c r="AE88" t="n">
        <v>1</v>
      </c>
      <c r="AF88" t="n">
        <v>7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Genética humana y enfermedades hereditarias</t>
        </is>
      </c>
      <c r="B89" t="inlineStr">
        <is>
          <t>retomado</t>
        </is>
      </c>
      <c r="C89" t="n">
        <v>7</v>
      </c>
      <c r="D89" t="n">
        <v>9</v>
      </c>
      <c r="F89" t="n">
        <v>8</v>
      </c>
      <c r="G89" t="n">
        <v>8.5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U89" t="n">
        <v>1</v>
      </c>
      <c r="X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  <c r="AE89" t="n">
        <v>1</v>
      </c>
      <c r="AF89" t="n">
        <v>7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Genotipo y fenotipo</t>
        </is>
      </c>
      <c r="B90" t="inlineStr">
        <is>
          <t>retomado</t>
        </is>
      </c>
      <c r="C90" t="n">
        <v>7</v>
      </c>
      <c r="D90" t="n">
        <v>9</v>
      </c>
      <c r="F90" t="n">
        <v>8</v>
      </c>
      <c r="G90" t="n">
        <v>8.5</v>
      </c>
      <c r="J90" t="n">
        <v>7</v>
      </c>
      <c r="L90" t="n">
        <v>9.5</v>
      </c>
      <c r="M90" t="n">
        <v>7</v>
      </c>
      <c r="O90" t="n">
        <v>1</v>
      </c>
      <c r="P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A90" t="n">
        <v>1</v>
      </c>
      <c r="AC90" t="n">
        <v>1</v>
      </c>
      <c r="AD90" t="n">
        <v>1</v>
      </c>
      <c r="AF90" t="n">
        <v>7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Grupos de alimentos y dieta balanceada</t>
        </is>
      </c>
      <c r="B91" t="inlineStr">
        <is>
          <t>retomado</t>
        </is>
      </c>
      <c r="C91" t="n">
        <v>2</v>
      </c>
      <c r="D91" t="n">
        <v>9</v>
      </c>
      <c r="F91" t="n">
        <v>8</v>
      </c>
      <c r="G91" t="n">
        <v>2</v>
      </c>
      <c r="O91" t="n">
        <v>1</v>
      </c>
      <c r="X91" t="n">
        <v>1</v>
      </c>
      <c r="Z91" t="n">
        <v>1</v>
      </c>
      <c r="AF91" t="n">
        <v>2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Hábitat y ecosistemas comunes</t>
        </is>
      </c>
      <c r="B92" t="inlineStr">
        <is>
          <t>retomado</t>
        </is>
      </c>
      <c r="C92" t="n">
        <v>2</v>
      </c>
      <c r="D92" t="n">
        <v>9</v>
      </c>
      <c r="E92" t="n">
        <v>2</v>
      </c>
      <c r="F92" t="n">
        <v>8</v>
      </c>
      <c r="G92" t="n">
        <v>2</v>
      </c>
      <c r="I92" t="n">
        <v>2</v>
      </c>
      <c r="M92" t="n">
        <v>7</v>
      </c>
      <c r="O92" t="n">
        <v>1</v>
      </c>
      <c r="Z92" t="n">
        <v>1</v>
      </c>
      <c r="AC92" t="n">
        <v>1</v>
      </c>
      <c r="AD92" t="n">
        <v>1</v>
      </c>
      <c r="AF92" t="n">
        <v>2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Hábitos de vida saludable</t>
        </is>
      </c>
      <c r="B93" t="inlineStr">
        <is>
          <t>retomado</t>
        </is>
      </c>
      <c r="C93" t="n">
        <v>2</v>
      </c>
      <c r="D93" t="n">
        <v>9</v>
      </c>
      <c r="F93" t="n">
        <v>8</v>
      </c>
      <c r="G93" t="n">
        <v>2</v>
      </c>
      <c r="L93" t="n">
        <v>9.5</v>
      </c>
      <c r="O93" t="n">
        <v>1</v>
      </c>
      <c r="P93" t="n">
        <v>1</v>
      </c>
      <c r="U93" t="n">
        <v>1</v>
      </c>
      <c r="Y93" t="n">
        <v>1</v>
      </c>
      <c r="Z93" t="n">
        <v>1</v>
      </c>
      <c r="AB93" t="n">
        <v>1</v>
      </c>
      <c r="AC93" t="n">
        <v>1</v>
      </c>
      <c r="AD93" t="n">
        <v>1</v>
      </c>
      <c r="AF93" t="n">
        <v>2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Herencia de rasgos</t>
        </is>
      </c>
      <c r="B94" t="inlineStr">
        <is>
          <t>retomado</t>
        </is>
      </c>
      <c r="C94" t="n">
        <v>3</v>
      </c>
      <c r="D94" t="n">
        <v>10</v>
      </c>
      <c r="F94" t="n">
        <v>8</v>
      </c>
      <c r="G94" t="n">
        <v>4</v>
      </c>
      <c r="I94" t="n">
        <v>8</v>
      </c>
      <c r="L94" t="n">
        <v>9.5</v>
      </c>
      <c r="M94" t="n">
        <v>7</v>
      </c>
      <c r="O94" t="n">
        <v>1</v>
      </c>
      <c r="P94" t="n">
        <v>1</v>
      </c>
      <c r="U94" t="n">
        <v>1</v>
      </c>
      <c r="V94" t="n">
        <v>1</v>
      </c>
      <c r="Y94" t="n">
        <v>1</v>
      </c>
      <c r="Z94" t="n">
        <v>1</v>
      </c>
      <c r="AB94" t="n">
        <v>1</v>
      </c>
      <c r="AD94" t="n">
        <v>1</v>
      </c>
      <c r="AF94" t="n">
        <v>3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Herencia mendeliana</t>
        </is>
      </c>
      <c r="B95" t="inlineStr">
        <is>
          <t>retomado</t>
        </is>
      </c>
      <c r="C95" t="n">
        <v>7</v>
      </c>
      <c r="D95" t="n">
        <v>10</v>
      </c>
      <c r="E95" t="n">
        <v>9</v>
      </c>
      <c r="F95" t="n">
        <v>8</v>
      </c>
      <c r="G95" t="n">
        <v>8.5</v>
      </c>
      <c r="I95" t="n">
        <v>8</v>
      </c>
      <c r="J95" t="n">
        <v>7</v>
      </c>
      <c r="L95" t="n">
        <v>9.5</v>
      </c>
      <c r="M95" t="n">
        <v>7</v>
      </c>
      <c r="N95" t="n">
        <v>1</v>
      </c>
      <c r="O95" t="n">
        <v>1</v>
      </c>
      <c r="P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7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Historia de la vida en la Tierra</t>
        </is>
      </c>
      <c r="B96" t="inlineStr">
        <is>
          <t>retomado</t>
        </is>
      </c>
      <c r="C96" t="n">
        <v>2</v>
      </c>
      <c r="D96" t="n">
        <v>9</v>
      </c>
      <c r="E96" t="n">
        <v>9</v>
      </c>
      <c r="F96" t="n">
        <v>8</v>
      </c>
      <c r="I96" t="n">
        <v>8</v>
      </c>
      <c r="J96" t="n">
        <v>9</v>
      </c>
      <c r="M96" t="n">
        <v>7</v>
      </c>
      <c r="N96" t="n">
        <v>1</v>
      </c>
      <c r="O96" t="n">
        <v>1</v>
      </c>
      <c r="R96" t="n">
        <v>1</v>
      </c>
      <c r="S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C96" t="n">
        <v>1</v>
      </c>
      <c r="AE96" t="n">
        <v>1</v>
      </c>
      <c r="AF96" t="n">
        <v>5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Homeostasis</t>
        </is>
      </c>
      <c r="B97" t="inlineStr">
        <is>
          <t>retomado</t>
        </is>
      </c>
      <c r="C97" t="n">
        <v>8</v>
      </c>
      <c r="D97" t="n">
        <v>9</v>
      </c>
      <c r="F97" t="n">
        <v>8</v>
      </c>
      <c r="G97" t="n">
        <v>8.5</v>
      </c>
      <c r="I97" t="n">
        <v>9.5</v>
      </c>
      <c r="J97" t="n">
        <v>7</v>
      </c>
      <c r="K97" t="n">
        <v>9</v>
      </c>
      <c r="L97" t="n">
        <v>9.5</v>
      </c>
      <c r="M97" t="n">
        <v>7</v>
      </c>
      <c r="O97" t="n">
        <v>1</v>
      </c>
      <c r="P97" t="n">
        <v>1</v>
      </c>
      <c r="R97" t="n">
        <v>1</v>
      </c>
      <c r="T97" t="n">
        <v>1</v>
      </c>
      <c r="U97" t="n">
        <v>1</v>
      </c>
      <c r="W97" t="n">
        <v>1</v>
      </c>
      <c r="Y97" t="n">
        <v>1</v>
      </c>
      <c r="Z97" t="n">
        <v>1</v>
      </c>
      <c r="AA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8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Impacto humano en los ecosistemas</t>
        </is>
      </c>
      <c r="B98" t="inlineStr">
        <is>
          <t>retomado</t>
        </is>
      </c>
      <c r="C98" t="n">
        <v>2</v>
      </c>
      <c r="D98" t="n">
        <v>9</v>
      </c>
      <c r="F98" t="n">
        <v>8</v>
      </c>
      <c r="G98" t="n">
        <v>2</v>
      </c>
      <c r="I98" t="n">
        <v>5</v>
      </c>
      <c r="J98" t="n">
        <v>9</v>
      </c>
      <c r="K98" t="n">
        <v>8</v>
      </c>
      <c r="L98" t="n">
        <v>9.5</v>
      </c>
      <c r="M98" t="n">
        <v>7</v>
      </c>
      <c r="O98" t="n">
        <v>1</v>
      </c>
      <c r="P98" t="n">
        <v>1</v>
      </c>
      <c r="R98" t="n">
        <v>1</v>
      </c>
      <c r="S98" t="n">
        <v>1</v>
      </c>
      <c r="U98" t="n">
        <v>1</v>
      </c>
      <c r="W98" t="n">
        <v>1</v>
      </c>
      <c r="X98" t="n">
        <v>1</v>
      </c>
      <c r="Y98" t="n">
        <v>1</v>
      </c>
      <c r="Z98" t="n">
        <v>1</v>
      </c>
      <c r="AA98" t="n">
        <v>1</v>
      </c>
      <c r="AB98" t="n">
        <v>1</v>
      </c>
      <c r="AC98" t="n">
        <v>1</v>
      </c>
      <c r="AD98" t="n">
        <v>1</v>
      </c>
      <c r="AE98" t="n">
        <v>1</v>
      </c>
      <c r="AF98" t="n">
        <v>2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Inmunidad activa, pasiva y vacunas</t>
        </is>
      </c>
      <c r="B99" t="inlineStr">
        <is>
          <t>retomado</t>
        </is>
      </c>
      <c r="C99" t="n">
        <v>2</v>
      </c>
      <c r="D99" t="n">
        <v>9</v>
      </c>
      <c r="F99" t="n">
        <v>8</v>
      </c>
      <c r="G99" t="n">
        <v>8.5</v>
      </c>
      <c r="K99" t="n">
        <v>9</v>
      </c>
      <c r="L99" t="n">
        <v>9.5</v>
      </c>
      <c r="O99" t="n">
        <v>1</v>
      </c>
      <c r="P99" t="n">
        <v>1</v>
      </c>
      <c r="T99" t="n">
        <v>1</v>
      </c>
      <c r="U99" t="n">
        <v>1</v>
      </c>
      <c r="W99" t="n">
        <v>1</v>
      </c>
      <c r="Y99" t="n">
        <v>1</v>
      </c>
      <c r="Z99" t="n">
        <v>1</v>
      </c>
      <c r="AB99" t="n">
        <v>1</v>
      </c>
      <c r="AD99" t="n">
        <v>1</v>
      </c>
      <c r="AF99" t="n">
        <v>2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Intercambio de gases en plantas</t>
        </is>
      </c>
      <c r="B100" t="inlineStr">
        <is>
          <t>retomado</t>
        </is>
      </c>
      <c r="C100" t="n">
        <v>8</v>
      </c>
      <c r="D100" t="n">
        <v>10</v>
      </c>
      <c r="G100" t="n">
        <v>6</v>
      </c>
      <c r="I100" t="n">
        <v>7</v>
      </c>
      <c r="L100" t="n">
        <v>9.5</v>
      </c>
      <c r="P100" t="n">
        <v>1</v>
      </c>
      <c r="U100" t="n">
        <v>1</v>
      </c>
      <c r="W100" t="n">
        <v>1</v>
      </c>
      <c r="Y100" t="n">
        <v>1</v>
      </c>
      <c r="Z100" t="n">
        <v>1</v>
      </c>
      <c r="AD100" t="n">
        <v>1</v>
      </c>
      <c r="AF100" t="n">
        <v>8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La célula como unidad de la vida</t>
        </is>
      </c>
      <c r="B101" t="inlineStr">
        <is>
          <t>retomado</t>
        </is>
      </c>
      <c r="C101" t="n">
        <v>3</v>
      </c>
      <c r="D101" t="n">
        <v>9</v>
      </c>
      <c r="E101" t="n">
        <v>7</v>
      </c>
      <c r="F101" t="n">
        <v>8</v>
      </c>
      <c r="G101" t="n">
        <v>6</v>
      </c>
      <c r="I101" t="n">
        <v>7</v>
      </c>
      <c r="J101" t="n">
        <v>7</v>
      </c>
      <c r="K101" t="n">
        <v>9</v>
      </c>
      <c r="L101" t="n">
        <v>9.5</v>
      </c>
      <c r="M101" t="n">
        <v>7</v>
      </c>
      <c r="O101" t="n">
        <v>1</v>
      </c>
      <c r="P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W101" t="n">
        <v>1</v>
      </c>
      <c r="X101" t="n">
        <v>1</v>
      </c>
      <c r="Y101" t="n">
        <v>1</v>
      </c>
      <c r="Z101" t="n">
        <v>1</v>
      </c>
      <c r="AA101" t="n">
        <v>1</v>
      </c>
      <c r="AB101" t="n">
        <v>1</v>
      </c>
      <c r="AC101" t="n">
        <v>1</v>
      </c>
      <c r="AD101" t="n">
        <v>1</v>
      </c>
      <c r="AE101" t="n">
        <v>1</v>
      </c>
      <c r="AF101" t="n">
        <v>6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Mecanismos de microevolución</t>
        </is>
      </c>
      <c r="B102" t="inlineStr">
        <is>
          <t>retomado</t>
        </is>
      </c>
      <c r="C102" t="n">
        <v>7</v>
      </c>
      <c r="D102" t="n">
        <v>10</v>
      </c>
      <c r="F102" t="n">
        <v>8</v>
      </c>
      <c r="L102" t="n">
        <v>9.5</v>
      </c>
      <c r="M102" t="n">
        <v>9.5</v>
      </c>
      <c r="O102" t="n">
        <v>1</v>
      </c>
      <c r="U102" t="n">
        <v>1</v>
      </c>
      <c r="V102" t="n">
        <v>1</v>
      </c>
      <c r="W102" t="n">
        <v>1</v>
      </c>
      <c r="Y102" t="n">
        <v>1</v>
      </c>
      <c r="Z102" t="n">
        <v>1</v>
      </c>
      <c r="AA102" t="n">
        <v>1</v>
      </c>
      <c r="AC102" t="n">
        <v>1</v>
      </c>
      <c r="AD102" t="n">
        <v>1</v>
      </c>
      <c r="AE102" t="n">
        <v>1</v>
      </c>
      <c r="AF102" t="n">
        <v>7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Medidas de biodiversidad</t>
        </is>
      </c>
      <c r="B103" t="inlineStr">
        <is>
          <t>retomado</t>
        </is>
      </c>
      <c r="C103" t="n">
        <v>7</v>
      </c>
      <c r="D103" t="n">
        <v>11</v>
      </c>
      <c r="G103" t="n">
        <v>8.5</v>
      </c>
      <c r="W103" t="n">
        <v>1</v>
      </c>
      <c r="Y103" t="n">
        <v>1</v>
      </c>
      <c r="Z103" t="n">
        <v>1</v>
      </c>
      <c r="AB103" t="n">
        <v>1</v>
      </c>
      <c r="AE103" t="n">
        <v>1</v>
      </c>
      <c r="AF103" t="n">
        <v>7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Meiosis</t>
        </is>
      </c>
      <c r="B104" t="inlineStr">
        <is>
          <t>retomado</t>
        </is>
      </c>
      <c r="C104" t="n">
        <v>6</v>
      </c>
      <c r="D104" t="n">
        <v>9</v>
      </c>
      <c r="E104" t="n">
        <v>9</v>
      </c>
      <c r="F104" t="n">
        <v>8</v>
      </c>
      <c r="G104" t="n">
        <v>8.5</v>
      </c>
      <c r="J104" t="n">
        <v>7</v>
      </c>
      <c r="L104" t="n">
        <v>11</v>
      </c>
      <c r="M104" t="n">
        <v>9.5</v>
      </c>
      <c r="N104" t="n">
        <v>1</v>
      </c>
      <c r="O104" t="n">
        <v>1</v>
      </c>
      <c r="P104" t="n">
        <v>1</v>
      </c>
      <c r="U104" t="n">
        <v>1</v>
      </c>
      <c r="V104" t="n">
        <v>1</v>
      </c>
      <c r="W104" t="n">
        <v>1</v>
      </c>
      <c r="Y104" t="n">
        <v>1</v>
      </c>
      <c r="Z104" t="n">
        <v>1</v>
      </c>
      <c r="AA104" t="n">
        <v>1</v>
      </c>
      <c r="AB104" t="n">
        <v>1</v>
      </c>
      <c r="AC104" t="n">
        <v>1</v>
      </c>
      <c r="AD104" t="n">
        <v>1</v>
      </c>
      <c r="AE104" t="n">
        <v>1</v>
      </c>
      <c r="AF104" t="n">
        <v>6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Membrana celular</t>
        </is>
      </c>
      <c r="B105" t="inlineStr">
        <is>
          <t>retomado</t>
        </is>
      </c>
      <c r="C105" t="n">
        <v>6</v>
      </c>
      <c r="D105" t="n">
        <v>9</v>
      </c>
      <c r="F105" t="n">
        <v>10.5</v>
      </c>
      <c r="G105" t="n">
        <v>6</v>
      </c>
      <c r="J105" t="n">
        <v>9</v>
      </c>
      <c r="L105" t="n">
        <v>9.5</v>
      </c>
      <c r="O105" t="n">
        <v>1</v>
      </c>
      <c r="P105" t="n">
        <v>1</v>
      </c>
      <c r="S105" t="n">
        <v>1</v>
      </c>
      <c r="U105" t="n">
        <v>1</v>
      </c>
      <c r="W105" t="n">
        <v>1</v>
      </c>
      <c r="Y105" t="n">
        <v>1</v>
      </c>
      <c r="Z105" t="n">
        <v>1</v>
      </c>
      <c r="AB105" t="n">
        <v>1</v>
      </c>
      <c r="AC105" t="n">
        <v>1</v>
      </c>
      <c r="AD105" t="n">
        <v>1</v>
      </c>
      <c r="AE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Microorganismos</t>
        </is>
      </c>
      <c r="B106" t="inlineStr">
        <is>
          <t>retomado</t>
        </is>
      </c>
      <c r="C106" t="n">
        <v>2</v>
      </c>
      <c r="D106" t="n">
        <v>10</v>
      </c>
      <c r="F106" t="n">
        <v>8</v>
      </c>
      <c r="G106" t="n">
        <v>4</v>
      </c>
      <c r="I106" t="n">
        <v>8</v>
      </c>
      <c r="J106" t="n">
        <v>9</v>
      </c>
      <c r="L106" t="n">
        <v>9.5</v>
      </c>
      <c r="M106" t="n">
        <v>7</v>
      </c>
      <c r="O106" t="n">
        <v>1</v>
      </c>
      <c r="P106" t="n">
        <v>1</v>
      </c>
      <c r="R106" t="n">
        <v>1</v>
      </c>
      <c r="S106" t="n">
        <v>1</v>
      </c>
      <c r="U106" t="n">
        <v>1</v>
      </c>
      <c r="W106" t="n">
        <v>1</v>
      </c>
      <c r="Y106" t="n">
        <v>1</v>
      </c>
      <c r="Z106" t="n">
        <v>1</v>
      </c>
      <c r="AD106" t="n">
        <v>1</v>
      </c>
      <c r="AF106" t="n">
        <v>2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Mitosis y ciclo celular</t>
        </is>
      </c>
      <c r="B107" t="inlineStr">
        <is>
          <t>retomado</t>
        </is>
      </c>
      <c r="C107" t="n">
        <v>6</v>
      </c>
      <c r="D107" t="n">
        <v>9</v>
      </c>
      <c r="E107" t="n">
        <v>9</v>
      </c>
      <c r="F107" t="n">
        <v>10.5</v>
      </c>
      <c r="G107" t="n">
        <v>8.5</v>
      </c>
      <c r="I107" t="n">
        <v>8</v>
      </c>
      <c r="J107" t="n">
        <v>7</v>
      </c>
      <c r="K107" t="n">
        <v>9</v>
      </c>
      <c r="L107" t="n">
        <v>11</v>
      </c>
      <c r="M107" t="n">
        <v>7</v>
      </c>
      <c r="N107" t="n">
        <v>1</v>
      </c>
      <c r="O107" t="n">
        <v>1</v>
      </c>
      <c r="P107" t="n">
        <v>1</v>
      </c>
      <c r="R107" t="n">
        <v>1</v>
      </c>
      <c r="T107" t="n">
        <v>1</v>
      </c>
      <c r="U107" t="n">
        <v>1</v>
      </c>
      <c r="V107" t="n">
        <v>1</v>
      </c>
      <c r="W107" t="n">
        <v>1</v>
      </c>
      <c r="Y107" t="n">
        <v>1</v>
      </c>
      <c r="Z107" t="n">
        <v>1</v>
      </c>
      <c r="AB107" t="n">
        <v>1</v>
      </c>
      <c r="AD107" t="n">
        <v>1</v>
      </c>
      <c r="AE107" t="n">
        <v>1</v>
      </c>
      <c r="AF107" t="n">
        <v>6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Modelos ecológicos basados en muestreo</t>
        </is>
      </c>
      <c r="B108" t="inlineStr">
        <is>
          <t>retomado</t>
        </is>
      </c>
      <c r="C108" t="n">
        <v>7</v>
      </c>
      <c r="D108" t="n">
        <v>10</v>
      </c>
      <c r="G108" t="n">
        <v>6</v>
      </c>
      <c r="P108" t="n">
        <v>1</v>
      </c>
      <c r="W108" t="n">
        <v>1</v>
      </c>
      <c r="Y108" t="n">
        <v>1</v>
      </c>
      <c r="Z108" t="n">
        <v>1</v>
      </c>
      <c r="AB108" t="n">
        <v>1</v>
      </c>
      <c r="AC108" t="n">
        <v>1</v>
      </c>
      <c r="AF108" t="n">
        <v>7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Mutaciones</t>
        </is>
      </c>
      <c r="B109" t="inlineStr">
        <is>
          <t>retomado</t>
        </is>
      </c>
      <c r="C109" t="n">
        <v>7</v>
      </c>
      <c r="D109" t="n">
        <v>10</v>
      </c>
      <c r="F109" t="n">
        <v>10.5</v>
      </c>
      <c r="G109" t="n">
        <v>8.5</v>
      </c>
      <c r="J109" t="n">
        <v>9</v>
      </c>
      <c r="L109" t="n">
        <v>9.5</v>
      </c>
      <c r="M109" t="n">
        <v>7</v>
      </c>
      <c r="O109" t="n">
        <v>1</v>
      </c>
      <c r="P109" t="n">
        <v>1</v>
      </c>
      <c r="S109" t="n">
        <v>1</v>
      </c>
      <c r="U109" t="n">
        <v>1</v>
      </c>
      <c r="W109" t="n">
        <v>1</v>
      </c>
      <c r="Y109" t="n">
        <v>1</v>
      </c>
      <c r="Z109" t="n">
        <v>1</v>
      </c>
      <c r="AA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7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Necesidades de los seres vivos</t>
        </is>
      </c>
      <c r="B110" t="inlineStr">
        <is>
          <t>retomado</t>
        </is>
      </c>
      <c r="C110" t="n">
        <v>2</v>
      </c>
      <c r="D110" t="n">
        <v>11</v>
      </c>
      <c r="E110" t="n">
        <v>2</v>
      </c>
      <c r="F110" t="n">
        <v>8</v>
      </c>
      <c r="G110" t="n">
        <v>2</v>
      </c>
      <c r="I110" t="n">
        <v>4</v>
      </c>
      <c r="M110" t="n">
        <v>7</v>
      </c>
      <c r="O110" t="n">
        <v>1</v>
      </c>
      <c r="P110" t="n">
        <v>1</v>
      </c>
      <c r="W110" t="n">
        <v>1</v>
      </c>
      <c r="Y110" t="n">
        <v>1</v>
      </c>
      <c r="Z110" t="n">
        <v>1</v>
      </c>
      <c r="AD110" t="n">
        <v>1</v>
      </c>
      <c r="AF110" t="n">
        <v>2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Nicho ecológico y exclusión competitiva</t>
        </is>
      </c>
      <c r="B111" t="inlineStr">
        <is>
          <t>retomado</t>
        </is>
      </c>
      <c r="C111" t="n">
        <v>4</v>
      </c>
      <c r="D111" t="n">
        <v>11</v>
      </c>
      <c r="F111" t="n">
        <v>10.5</v>
      </c>
      <c r="G111" t="n">
        <v>8.5</v>
      </c>
      <c r="M111" t="n">
        <v>7</v>
      </c>
      <c r="O111" t="n">
        <v>1</v>
      </c>
      <c r="P111" t="n">
        <v>1</v>
      </c>
      <c r="W111" t="n">
        <v>1</v>
      </c>
      <c r="Z111" t="n">
        <v>1</v>
      </c>
      <c r="AA111" t="n">
        <v>1</v>
      </c>
      <c r="AB111" t="n">
        <v>1</v>
      </c>
      <c r="AD111" t="n">
        <v>1</v>
      </c>
      <c r="AF111" t="n">
        <v>4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Niveles de organización de los seres vivos</t>
        </is>
      </c>
      <c r="B112" t="inlineStr">
        <is>
          <t>retomado</t>
        </is>
      </c>
      <c r="C112" t="n">
        <v>4</v>
      </c>
      <c r="D112" t="n">
        <v>10</v>
      </c>
      <c r="E112" t="n">
        <v>7</v>
      </c>
      <c r="F112" t="n">
        <v>8</v>
      </c>
      <c r="G112" t="n">
        <v>6</v>
      </c>
      <c r="J112" t="n">
        <v>7</v>
      </c>
      <c r="K112" t="n">
        <v>9</v>
      </c>
      <c r="L112" t="n">
        <v>9.5</v>
      </c>
      <c r="M112" t="n">
        <v>7</v>
      </c>
      <c r="O112" t="n">
        <v>1</v>
      </c>
      <c r="P112" t="n">
        <v>1</v>
      </c>
      <c r="T112" t="n">
        <v>1</v>
      </c>
      <c r="U112" t="n">
        <v>1</v>
      </c>
      <c r="V112" t="n">
        <v>1</v>
      </c>
      <c r="W112" t="n">
        <v>1</v>
      </c>
      <c r="Y112" t="n">
        <v>1</v>
      </c>
      <c r="Z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4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Niveles de organización ecológica</t>
        </is>
      </c>
      <c r="B113" t="inlineStr">
        <is>
          <t>retomado</t>
        </is>
      </c>
      <c r="C113" t="n">
        <v>4</v>
      </c>
      <c r="D113" t="n">
        <v>11</v>
      </c>
      <c r="F113" t="n">
        <v>8</v>
      </c>
      <c r="G113" t="n">
        <v>8.5</v>
      </c>
      <c r="I113" t="n">
        <v>9.5</v>
      </c>
      <c r="K113" t="n">
        <v>8</v>
      </c>
      <c r="M113" t="n">
        <v>7</v>
      </c>
      <c r="O113" t="n">
        <v>1</v>
      </c>
      <c r="P113" t="n">
        <v>1</v>
      </c>
      <c r="R113" t="n">
        <v>1</v>
      </c>
      <c r="W113" t="n">
        <v>1</v>
      </c>
      <c r="Y113" t="n">
        <v>1</v>
      </c>
      <c r="Z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4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Nutrición autótrofa y heterótrofa</t>
        </is>
      </c>
      <c r="B114" t="inlineStr">
        <is>
          <t>retomado</t>
        </is>
      </c>
      <c r="C114" t="n">
        <v>2</v>
      </c>
      <c r="D114" t="n">
        <v>9</v>
      </c>
      <c r="F114" t="n">
        <v>8</v>
      </c>
      <c r="G114" t="n">
        <v>2</v>
      </c>
      <c r="L114" t="n">
        <v>9.5</v>
      </c>
      <c r="M114" t="n">
        <v>7</v>
      </c>
      <c r="O114" t="n">
        <v>1</v>
      </c>
      <c r="P114" t="n">
        <v>1</v>
      </c>
      <c r="U114" t="n">
        <v>1</v>
      </c>
      <c r="Y114" t="n">
        <v>1</v>
      </c>
      <c r="Z114" t="n">
        <v>1</v>
      </c>
      <c r="AD114" t="n">
        <v>1</v>
      </c>
      <c r="AF114" t="n">
        <v>3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Nutrientes y sus funciones</t>
        </is>
      </c>
      <c r="B115" t="inlineStr">
        <is>
          <t>retomado</t>
        </is>
      </c>
      <c r="C115" t="n">
        <v>2</v>
      </c>
      <c r="D115" t="n">
        <v>9</v>
      </c>
      <c r="F115" t="n">
        <v>8</v>
      </c>
      <c r="G115" t="n">
        <v>6</v>
      </c>
      <c r="L115" t="n">
        <v>9.5</v>
      </c>
      <c r="O115" t="n">
        <v>1</v>
      </c>
      <c r="P115" t="n">
        <v>1</v>
      </c>
      <c r="U115" t="n">
        <v>1</v>
      </c>
      <c r="X115" t="n">
        <v>1</v>
      </c>
      <c r="Y115" t="n">
        <v>1</v>
      </c>
      <c r="Z115" t="n">
        <v>1</v>
      </c>
      <c r="AC115" t="n">
        <v>1</v>
      </c>
      <c r="AD115" t="n">
        <v>1</v>
      </c>
      <c r="AF115" t="n">
        <v>4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Organelos de la célula eucariota</t>
        </is>
      </c>
      <c r="B116" t="inlineStr">
        <is>
          <t>retomado</t>
        </is>
      </c>
      <c r="C116" t="n">
        <v>6</v>
      </c>
      <c r="D116" t="n">
        <v>10</v>
      </c>
      <c r="E116" t="n">
        <v>7</v>
      </c>
      <c r="F116" t="n">
        <v>10.5</v>
      </c>
      <c r="G116" t="n">
        <v>6</v>
      </c>
      <c r="I116" t="n">
        <v>9.5</v>
      </c>
      <c r="K116" t="n">
        <v>9</v>
      </c>
      <c r="L116" t="n">
        <v>9.5</v>
      </c>
      <c r="M116" t="n">
        <v>9.5</v>
      </c>
      <c r="O116" t="n">
        <v>1</v>
      </c>
      <c r="P116" t="n">
        <v>1</v>
      </c>
      <c r="R116" t="n">
        <v>1</v>
      </c>
      <c r="T116" t="n">
        <v>1</v>
      </c>
      <c r="U116" t="n">
        <v>1</v>
      </c>
      <c r="V116" t="n">
        <v>1</v>
      </c>
      <c r="W116" t="n">
        <v>1</v>
      </c>
      <c r="Y116" t="n">
        <v>1</v>
      </c>
      <c r="Z116" t="n">
        <v>1</v>
      </c>
      <c r="AB116" t="n">
        <v>1</v>
      </c>
      <c r="AC116" t="n">
        <v>1</v>
      </c>
      <c r="AD116" t="n">
        <v>1</v>
      </c>
      <c r="AE116" t="n">
        <v>1</v>
      </c>
      <c r="AF116" t="n">
        <v>6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Órganos de los sentidos</t>
        </is>
      </c>
      <c r="B117" t="inlineStr">
        <is>
          <t>retomado</t>
        </is>
      </c>
      <c r="C117" t="n">
        <v>4</v>
      </c>
      <c r="D117" t="n">
        <v>9</v>
      </c>
      <c r="F117" t="n">
        <v>8</v>
      </c>
      <c r="G117" t="n">
        <v>2</v>
      </c>
      <c r="I117" t="n">
        <v>7</v>
      </c>
      <c r="J117" t="n">
        <v>7</v>
      </c>
      <c r="M117" t="n">
        <v>7</v>
      </c>
      <c r="O117" t="n">
        <v>1</v>
      </c>
      <c r="P117" t="n">
        <v>1</v>
      </c>
      <c r="Y117" t="n">
        <v>1</v>
      </c>
      <c r="AA117" t="n">
        <v>1</v>
      </c>
      <c r="AD117" t="n">
        <v>1</v>
      </c>
      <c r="AE117" t="n">
        <v>1</v>
      </c>
      <c r="AF117" t="n">
        <v>4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PCR y electroforesis en gel</t>
        </is>
      </c>
      <c r="B118" t="inlineStr">
        <is>
          <t>retomado</t>
        </is>
      </c>
      <c r="C118" t="n">
        <v>7</v>
      </c>
      <c r="D118" t="n">
        <v>9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C118" t="n">
        <v>1</v>
      </c>
      <c r="AD118" t="n">
        <v>1</v>
      </c>
      <c r="AE118" t="n">
        <v>1</v>
      </c>
      <c r="AF118" t="n">
        <v>7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Plantas y animales útiles al ser humano</t>
        </is>
      </c>
      <c r="B119" t="inlineStr">
        <is>
          <t>retomado</t>
        </is>
      </c>
      <c r="C119" t="n">
        <v>2</v>
      </c>
      <c r="D119" t="n">
        <v>11</v>
      </c>
      <c r="F119" t="n">
        <v>8</v>
      </c>
      <c r="G119" t="n">
        <v>2</v>
      </c>
      <c r="O119" t="n">
        <v>1</v>
      </c>
      <c r="P119" t="n">
        <v>1</v>
      </c>
      <c r="Y119" t="n">
        <v>1</v>
      </c>
      <c r="Z119" t="n">
        <v>1</v>
      </c>
      <c r="AC119" t="n">
        <v>1</v>
      </c>
      <c r="AD119" t="n">
        <v>1</v>
      </c>
      <c r="AF119" t="n">
        <v>2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Productores, consumidores y descomponedores</t>
        </is>
      </c>
      <c r="B120" t="inlineStr">
        <is>
          <t>retomado</t>
        </is>
      </c>
      <c r="C120" t="n">
        <v>3</v>
      </c>
      <c r="D120" t="n">
        <v>9</v>
      </c>
      <c r="E120" t="n">
        <v>3</v>
      </c>
      <c r="F120" t="n">
        <v>8</v>
      </c>
      <c r="G120" t="n">
        <v>2</v>
      </c>
      <c r="I120" t="n">
        <v>8</v>
      </c>
      <c r="J120" t="n">
        <v>9</v>
      </c>
      <c r="K120" t="n">
        <v>8</v>
      </c>
      <c r="L120" t="n">
        <v>9.5</v>
      </c>
      <c r="M120" t="n">
        <v>7</v>
      </c>
      <c r="O120" t="n">
        <v>1</v>
      </c>
      <c r="P120" t="n">
        <v>1</v>
      </c>
      <c r="R120" t="n">
        <v>1</v>
      </c>
      <c r="S120" t="n">
        <v>1</v>
      </c>
      <c r="U120" t="n">
        <v>1</v>
      </c>
      <c r="Y120" t="n">
        <v>1</v>
      </c>
      <c r="Z120" t="n">
        <v>1</v>
      </c>
      <c r="AA120" t="n">
        <v>1</v>
      </c>
      <c r="AB120" t="n">
        <v>1</v>
      </c>
      <c r="AC120" t="n">
        <v>1</v>
      </c>
      <c r="AD120" t="n">
        <v>1</v>
      </c>
      <c r="AF120" t="n">
        <v>3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Redes tróficas</t>
        </is>
      </c>
      <c r="B121" t="inlineStr">
        <is>
          <t>retomado</t>
        </is>
      </c>
      <c r="C121" t="n">
        <v>4</v>
      </c>
      <c r="D121" t="n">
        <v>9</v>
      </c>
      <c r="E121" t="n">
        <v>6</v>
      </c>
      <c r="F121" t="n">
        <v>10.5</v>
      </c>
      <c r="G121" t="n">
        <v>6</v>
      </c>
      <c r="I121" t="n">
        <v>9.5</v>
      </c>
      <c r="J121" t="n">
        <v>9</v>
      </c>
      <c r="L121" t="n">
        <v>9.5</v>
      </c>
      <c r="M121" t="n">
        <v>7</v>
      </c>
      <c r="O121" t="n">
        <v>1</v>
      </c>
      <c r="P121" t="n">
        <v>1</v>
      </c>
      <c r="R121" t="n">
        <v>1</v>
      </c>
      <c r="S121" t="n">
        <v>1</v>
      </c>
      <c r="U121" t="n">
        <v>1</v>
      </c>
      <c r="W121" t="n">
        <v>1</v>
      </c>
      <c r="Y121" t="n">
        <v>1</v>
      </c>
      <c r="Z121" t="n">
        <v>1</v>
      </c>
      <c r="AC121" t="n">
        <v>1</v>
      </c>
      <c r="AD121" t="n">
        <v>1</v>
      </c>
      <c r="AF121" t="n">
        <v>4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Replicación del ADN</t>
        </is>
      </c>
      <c r="B122" t="inlineStr">
        <is>
          <t>retomado</t>
        </is>
      </c>
      <c r="C122" t="n">
        <v>7</v>
      </c>
      <c r="D122" t="n">
        <v>11</v>
      </c>
      <c r="I122" t="n">
        <v>9.5</v>
      </c>
      <c r="L122" t="n">
        <v>11</v>
      </c>
      <c r="M122" t="n">
        <v>9.5</v>
      </c>
      <c r="R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A122" t="n">
        <v>1</v>
      </c>
      <c r="AB122" t="n">
        <v>1</v>
      </c>
      <c r="AC122" t="n">
        <v>1</v>
      </c>
      <c r="AD122" t="n">
        <v>1</v>
      </c>
      <c r="AE122" t="n">
        <v>1</v>
      </c>
      <c r="AF122" t="n">
        <v>7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Reproducción humana y pubertad</t>
        </is>
      </c>
      <c r="B123" t="inlineStr">
        <is>
          <t>retomado</t>
        </is>
      </c>
      <c r="C123" t="n">
        <v>4</v>
      </c>
      <c r="D123" t="n">
        <v>9</v>
      </c>
      <c r="E123" t="n">
        <v>8</v>
      </c>
      <c r="F123" t="n">
        <v>8</v>
      </c>
      <c r="G123" t="n">
        <v>3</v>
      </c>
      <c r="I123" t="n">
        <v>4</v>
      </c>
      <c r="L123" t="n">
        <v>9.5</v>
      </c>
      <c r="M123" t="n">
        <v>7</v>
      </c>
      <c r="O123" t="n">
        <v>1</v>
      </c>
      <c r="P123" t="n">
        <v>1</v>
      </c>
      <c r="U123" t="n">
        <v>1</v>
      </c>
      <c r="Y123" t="n">
        <v>1</v>
      </c>
      <c r="Z123" t="n">
        <v>1</v>
      </c>
      <c r="AC123" t="n">
        <v>1</v>
      </c>
      <c r="AD123" t="n">
        <v>1</v>
      </c>
      <c r="AE123" t="n">
        <v>1</v>
      </c>
      <c r="AF123" t="n">
        <v>4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Reproducción sexual y asexual</t>
        </is>
      </c>
      <c r="B124" t="inlineStr">
        <is>
          <t>retomado</t>
        </is>
      </c>
      <c r="C124" t="n">
        <v>6</v>
      </c>
      <c r="D124" t="n">
        <v>11</v>
      </c>
      <c r="E124" t="n">
        <v>8</v>
      </c>
      <c r="F124" t="n">
        <v>8</v>
      </c>
      <c r="G124" t="n">
        <v>3</v>
      </c>
      <c r="I124" t="n">
        <v>8</v>
      </c>
      <c r="K124" t="n">
        <v>9</v>
      </c>
      <c r="L124" t="n">
        <v>9.5</v>
      </c>
      <c r="M124" t="n">
        <v>7</v>
      </c>
      <c r="O124" t="n">
        <v>1</v>
      </c>
      <c r="P124" t="n">
        <v>1</v>
      </c>
      <c r="T124" t="n">
        <v>1</v>
      </c>
      <c r="U124" t="n">
        <v>1</v>
      </c>
      <c r="V124" t="n">
        <v>1</v>
      </c>
      <c r="W124" t="n">
        <v>1</v>
      </c>
      <c r="Y124" t="n">
        <v>1</v>
      </c>
      <c r="Z124" t="n">
        <v>1</v>
      </c>
      <c r="AC124" t="n">
        <v>1</v>
      </c>
      <c r="AD124" t="n">
        <v>1</v>
      </c>
      <c r="AE124" t="n">
        <v>1</v>
      </c>
      <c r="AF124" t="n">
        <v>6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Requerimientos de materia y energía de la célula</t>
        </is>
      </c>
      <c r="B125" t="inlineStr">
        <is>
          <t>retomado</t>
        </is>
      </c>
      <c r="C125" t="n">
        <v>6</v>
      </c>
      <c r="D125" t="n">
        <v>10</v>
      </c>
      <c r="F125" t="n">
        <v>10.5</v>
      </c>
      <c r="G125" t="n">
        <v>6</v>
      </c>
      <c r="J125" t="n">
        <v>9</v>
      </c>
      <c r="M125" t="n">
        <v>7</v>
      </c>
      <c r="O125" t="n">
        <v>1</v>
      </c>
      <c r="P125" t="n">
        <v>1</v>
      </c>
      <c r="S125" t="n">
        <v>1</v>
      </c>
      <c r="V125" t="n">
        <v>1</v>
      </c>
      <c r="W125" t="n">
        <v>1</v>
      </c>
      <c r="Y125" t="n">
        <v>1</v>
      </c>
      <c r="Z125" t="n">
        <v>1</v>
      </c>
      <c r="AF125" t="n">
        <v>6</v>
      </c>
      <c r="AG125" t="inlineStr">
        <is>
          <t>retomado</t>
        </is>
      </c>
      <c r="AH125" t="inlineStr">
        <is>
          <t>retomado</t>
        </is>
      </c>
    </row>
    <row r="126">
      <c r="A126" t="inlineStr">
        <is>
          <t>Antibióticos y resistencia bacteriana</t>
        </is>
      </c>
      <c r="B126" t="inlineStr">
        <is>
          <t>retomado</t>
        </is>
      </c>
      <c r="C126" t="n">
        <v>7</v>
      </c>
      <c r="D126" t="n">
        <v>11</v>
      </c>
      <c r="G126" t="n">
        <v>8.5</v>
      </c>
      <c r="J126" t="n">
        <v>9</v>
      </c>
      <c r="L126" t="n">
        <v>9.5</v>
      </c>
      <c r="P126" t="n">
        <v>1</v>
      </c>
      <c r="S126" t="n">
        <v>1</v>
      </c>
      <c r="U126" t="n">
        <v>1</v>
      </c>
      <c r="Y126" t="n">
        <v>1</v>
      </c>
      <c r="Z126" t="n">
        <v>1</v>
      </c>
      <c r="AC126" t="n">
        <v>1</v>
      </c>
      <c r="AD126" t="n">
        <v>1</v>
      </c>
      <c r="AF126" t="n">
        <v>7</v>
      </c>
      <c r="AG126" t="inlineStr">
        <is>
          <t>retomado</t>
        </is>
      </c>
      <c r="AH126" t="inlineStr">
        <is>
          <t>retomado</t>
        </is>
      </c>
    </row>
    <row r="127">
      <c r="A127" t="inlineStr">
        <is>
          <t>Respiración celular</t>
        </is>
      </c>
      <c r="B127" t="inlineStr">
        <is>
          <t>retomado</t>
        </is>
      </c>
      <c r="C127" t="n">
        <v>6</v>
      </c>
      <c r="D127" t="n">
        <v>9</v>
      </c>
      <c r="E127" t="n">
        <v>8</v>
      </c>
      <c r="F127" t="n">
        <v>8</v>
      </c>
      <c r="G127" t="n">
        <v>6</v>
      </c>
      <c r="I127" t="n">
        <v>9.5</v>
      </c>
      <c r="J127" t="n">
        <v>7</v>
      </c>
      <c r="K127" t="n">
        <v>8</v>
      </c>
      <c r="L127" t="n">
        <v>9.5</v>
      </c>
      <c r="M127" t="n">
        <v>7</v>
      </c>
      <c r="O127" t="n">
        <v>1</v>
      </c>
      <c r="P127" t="n">
        <v>1</v>
      </c>
      <c r="R127" t="n">
        <v>1</v>
      </c>
      <c r="U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6</v>
      </c>
      <c r="AG127" t="inlineStr">
        <is>
          <t>retomado</t>
        </is>
      </c>
      <c r="AH127" t="inlineStr">
        <is>
          <t>retomado</t>
        </is>
      </c>
    </row>
    <row r="128">
      <c r="A128" t="inlineStr">
        <is>
          <t>Respuesta de los seres vivos a estímulos</t>
        </is>
      </c>
      <c r="B128" t="inlineStr">
        <is>
          <t>retomado</t>
        </is>
      </c>
      <c r="C128" t="n">
        <v>2</v>
      </c>
      <c r="D128" t="n">
        <v>10</v>
      </c>
      <c r="E128" t="n">
        <v>8</v>
      </c>
      <c r="F128" t="n">
        <v>8</v>
      </c>
      <c r="G128" t="n">
        <v>8.5</v>
      </c>
      <c r="I128" t="n">
        <v>3</v>
      </c>
      <c r="M128" t="n">
        <v>7</v>
      </c>
      <c r="O128" t="n">
        <v>1</v>
      </c>
      <c r="P128" t="n">
        <v>1</v>
      </c>
      <c r="W128" t="n">
        <v>1</v>
      </c>
      <c r="Y128" t="n">
        <v>1</v>
      </c>
      <c r="Z128" t="n">
        <v>1</v>
      </c>
      <c r="AA128" t="n">
        <v>1</v>
      </c>
      <c r="AC128" t="n">
        <v>1</v>
      </c>
      <c r="AD128" t="n">
        <v>1</v>
      </c>
      <c r="AE128" t="n">
        <v>1</v>
      </c>
      <c r="AF128" t="n">
        <v>2</v>
      </c>
      <c r="AG128" t="inlineStr">
        <is>
          <t>retomado</t>
        </is>
      </c>
      <c r="AH128" t="inlineStr">
        <is>
          <t>retomado</t>
        </is>
      </c>
    </row>
    <row r="129">
      <c r="A129" t="inlineStr">
        <is>
          <t>Selección artificial</t>
        </is>
      </c>
      <c r="B129" t="inlineStr">
        <is>
          <t>retomado</t>
        </is>
      </c>
      <c r="C129" t="n">
        <v>7</v>
      </c>
      <c r="D129" t="n">
        <v>11</v>
      </c>
      <c r="G129" t="n">
        <v>8.5</v>
      </c>
      <c r="P129" t="n">
        <v>1</v>
      </c>
      <c r="Y129" t="n">
        <v>1</v>
      </c>
      <c r="Z129" t="n">
        <v>1</v>
      </c>
      <c r="AC129" t="n">
        <v>1</v>
      </c>
      <c r="AF129" t="n">
        <v>7</v>
      </c>
      <c r="AG129" t="inlineStr">
        <is>
          <t>retomado</t>
        </is>
      </c>
      <c r="AH129" t="inlineStr">
        <is>
          <t>retomado</t>
        </is>
      </c>
    </row>
    <row r="130">
      <c r="A130" t="inlineStr">
        <is>
          <t>Selección natural</t>
        </is>
      </c>
      <c r="B130" t="inlineStr">
        <is>
          <t>retomado</t>
        </is>
      </c>
      <c r="C130" t="n">
        <v>7</v>
      </c>
      <c r="D130" t="n">
        <v>10</v>
      </c>
      <c r="E130" t="n">
        <v>9</v>
      </c>
      <c r="F130" t="n">
        <v>8</v>
      </c>
      <c r="G130" t="n">
        <v>4</v>
      </c>
      <c r="J130" t="n">
        <v>9</v>
      </c>
      <c r="L130" t="n">
        <v>9.5</v>
      </c>
      <c r="M130" t="n">
        <v>9.5</v>
      </c>
      <c r="N130" t="n">
        <v>1</v>
      </c>
      <c r="O130" t="n">
        <v>1</v>
      </c>
      <c r="P130" t="n">
        <v>1</v>
      </c>
      <c r="S130" t="n">
        <v>1</v>
      </c>
      <c r="U130" t="n">
        <v>1</v>
      </c>
      <c r="V130" t="n">
        <v>1</v>
      </c>
      <c r="W130" t="n">
        <v>1</v>
      </c>
      <c r="Y130" t="n">
        <v>1</v>
      </c>
      <c r="Z130" t="n">
        <v>1</v>
      </c>
      <c r="AA130" t="n">
        <v>1</v>
      </c>
      <c r="AB130" t="n">
        <v>1</v>
      </c>
      <c r="AC130" t="n">
        <v>1</v>
      </c>
      <c r="AD130" t="n">
        <v>1</v>
      </c>
      <c r="AE130" t="n">
        <v>1</v>
      </c>
      <c r="AF130" t="n">
        <v>7</v>
      </c>
      <c r="AG130" t="inlineStr">
        <is>
          <t>retomado</t>
        </is>
      </c>
      <c r="AH130" t="inlineStr">
        <is>
          <t>retomado</t>
        </is>
      </c>
    </row>
    <row r="131">
      <c r="A131" t="inlineStr">
        <is>
          <t>Seres vivos y no vivos</t>
        </is>
      </c>
      <c r="B131" t="inlineStr">
        <is>
          <t>retomado</t>
        </is>
      </c>
      <c r="C131" t="n">
        <v>2</v>
      </c>
      <c r="D131" t="n">
        <v>10</v>
      </c>
      <c r="E131" t="n">
        <v>2</v>
      </c>
      <c r="F131" t="n">
        <v>10.5</v>
      </c>
      <c r="G131" t="n">
        <v>2</v>
      </c>
      <c r="I131" t="n">
        <v>9.5</v>
      </c>
      <c r="M131" t="n">
        <v>7</v>
      </c>
      <c r="O131" t="n">
        <v>1</v>
      </c>
      <c r="R131" t="n">
        <v>1</v>
      </c>
      <c r="Z131" t="n">
        <v>1</v>
      </c>
      <c r="AB131" t="n">
        <v>1</v>
      </c>
      <c r="AD131" t="n">
        <v>1</v>
      </c>
      <c r="AF131" t="n">
        <v>2</v>
      </c>
      <c r="AG131" t="inlineStr">
        <is>
          <t>retomado</t>
        </is>
      </c>
      <c r="AH131" t="inlineStr">
        <is>
          <t>retomado</t>
        </is>
      </c>
    </row>
    <row r="132">
      <c r="A132" t="inlineStr">
        <is>
          <t>Simbiosis: mutualismo, comensalismo y parasitismo</t>
        </is>
      </c>
      <c r="B132" t="inlineStr">
        <is>
          <t>retomado</t>
        </is>
      </c>
      <c r="C132" t="n">
        <v>4</v>
      </c>
      <c r="D132" t="n">
        <v>10</v>
      </c>
      <c r="F132" t="n">
        <v>8</v>
      </c>
      <c r="G132" t="n">
        <v>6</v>
      </c>
      <c r="I132" t="n">
        <v>9.5</v>
      </c>
      <c r="J132" t="n">
        <v>9</v>
      </c>
      <c r="M132" t="n">
        <v>7</v>
      </c>
      <c r="O132" t="n">
        <v>1</v>
      </c>
      <c r="P132" t="n">
        <v>1</v>
      </c>
      <c r="R132" t="n">
        <v>1</v>
      </c>
      <c r="S132" t="n">
        <v>1</v>
      </c>
      <c r="W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E132" t="n">
        <v>1</v>
      </c>
      <c r="AF132" t="n">
        <v>4</v>
      </c>
      <c r="AG132" t="inlineStr">
        <is>
          <t>retomado</t>
        </is>
      </c>
      <c r="AH132" t="inlineStr">
        <is>
          <t>retomado</t>
        </is>
      </c>
    </row>
    <row r="133">
      <c r="A133" t="inlineStr">
        <is>
          <t>Síntesis de proteínas</t>
        </is>
      </c>
      <c r="B133" t="inlineStr">
        <is>
          <t>retomado</t>
        </is>
      </c>
      <c r="C133" t="n">
        <v>7</v>
      </c>
      <c r="D133" t="n">
        <v>9</v>
      </c>
      <c r="F133" t="n">
        <v>10.5</v>
      </c>
      <c r="I133" t="n">
        <v>9.5</v>
      </c>
      <c r="J133" t="n">
        <v>9</v>
      </c>
      <c r="L133" t="n">
        <v>9.5</v>
      </c>
      <c r="M133" t="n">
        <v>9.5</v>
      </c>
      <c r="O133" t="n">
        <v>1</v>
      </c>
      <c r="R133" t="n">
        <v>1</v>
      </c>
      <c r="S133" t="n">
        <v>1</v>
      </c>
      <c r="U133" t="n">
        <v>1</v>
      </c>
      <c r="V133" t="n">
        <v>1</v>
      </c>
      <c r="W133" t="n">
        <v>1</v>
      </c>
      <c r="Y133" t="n">
        <v>1</v>
      </c>
      <c r="Z133" t="n">
        <v>1</v>
      </c>
      <c r="AA133" t="n">
        <v>1</v>
      </c>
      <c r="AB133" t="n">
        <v>1</v>
      </c>
      <c r="AC133" t="n">
        <v>1</v>
      </c>
      <c r="AD133" t="n">
        <v>1</v>
      </c>
      <c r="AE133" t="n">
        <v>1</v>
      </c>
      <c r="AF133" t="n">
        <v>7</v>
      </c>
      <c r="AG133" t="inlineStr">
        <is>
          <t>retomado</t>
        </is>
      </c>
      <c r="AH133" t="inlineStr">
        <is>
          <t>retomado</t>
        </is>
      </c>
    </row>
    <row r="134">
      <c r="A134" t="inlineStr">
        <is>
          <t>Sistema circulatorio</t>
        </is>
      </c>
      <c r="B134" t="inlineStr">
        <is>
          <t>retomado</t>
        </is>
      </c>
      <c r="C134" t="n">
        <v>4</v>
      </c>
      <c r="D134" t="n">
        <v>9</v>
      </c>
      <c r="F134" t="n">
        <v>8</v>
      </c>
      <c r="G134" t="n">
        <v>4</v>
      </c>
      <c r="I134" t="n">
        <v>5</v>
      </c>
      <c r="J134" t="n">
        <v>7</v>
      </c>
      <c r="K134" t="n">
        <v>9</v>
      </c>
      <c r="L134" t="n">
        <v>9.5</v>
      </c>
      <c r="M134" t="n">
        <v>7</v>
      </c>
      <c r="O134" t="n">
        <v>1</v>
      </c>
      <c r="P134" t="n">
        <v>1</v>
      </c>
      <c r="R134" t="n">
        <v>1</v>
      </c>
      <c r="T134" t="n">
        <v>1</v>
      </c>
      <c r="U134" t="n">
        <v>1</v>
      </c>
      <c r="W134" t="n">
        <v>1</v>
      </c>
      <c r="Y134" t="n">
        <v>1</v>
      </c>
      <c r="Z134" t="n">
        <v>1</v>
      </c>
      <c r="AB134" t="n">
        <v>1</v>
      </c>
      <c r="AC134" t="n">
        <v>1</v>
      </c>
      <c r="AD134" t="n">
        <v>1</v>
      </c>
      <c r="AF134" t="n">
        <v>4</v>
      </c>
      <c r="AG134" t="inlineStr">
        <is>
          <t>retomado</t>
        </is>
      </c>
      <c r="AH134" t="inlineStr">
        <is>
          <t>retomado</t>
        </is>
      </c>
    </row>
    <row r="135">
      <c r="A135" t="inlineStr">
        <is>
          <t>Sistema nervioso</t>
        </is>
      </c>
      <c r="B135" t="inlineStr">
        <is>
          <t>retomado</t>
        </is>
      </c>
      <c r="C135" t="n">
        <v>4</v>
      </c>
      <c r="D135" t="n">
        <v>9</v>
      </c>
      <c r="E135" t="n">
        <v>8</v>
      </c>
      <c r="F135" t="n">
        <v>8</v>
      </c>
      <c r="G135" t="n">
        <v>8.5</v>
      </c>
      <c r="I135" t="n">
        <v>7</v>
      </c>
      <c r="J135" t="n">
        <v>7</v>
      </c>
      <c r="K135" t="n">
        <v>9</v>
      </c>
      <c r="M135" t="n">
        <v>7</v>
      </c>
      <c r="O135" t="n">
        <v>1</v>
      </c>
      <c r="P135" t="n">
        <v>1</v>
      </c>
      <c r="R135" t="n">
        <v>1</v>
      </c>
      <c r="T135" t="n">
        <v>1</v>
      </c>
      <c r="W135" t="n">
        <v>1</v>
      </c>
      <c r="X135" t="n">
        <v>1</v>
      </c>
      <c r="Y135" t="n">
        <v>1</v>
      </c>
      <c r="Z135" t="n">
        <v>1</v>
      </c>
      <c r="AA135" t="n">
        <v>1</v>
      </c>
      <c r="AB135" t="n">
        <v>1</v>
      </c>
      <c r="AC135" t="n">
        <v>1</v>
      </c>
      <c r="AD135" t="n">
        <v>1</v>
      </c>
      <c r="AE135" t="n">
        <v>1</v>
      </c>
      <c r="AF135" t="n">
        <v>4</v>
      </c>
      <c r="AG135" t="inlineStr">
        <is>
          <t>retomado</t>
        </is>
      </c>
      <c r="AH135" t="inlineStr">
        <is>
          <t>retomado</t>
        </is>
      </c>
    </row>
    <row r="136">
      <c r="A136" t="inlineStr">
        <is>
          <t>Sistema respiratorio</t>
        </is>
      </c>
      <c r="B136" t="inlineStr">
        <is>
          <t>retomado</t>
        </is>
      </c>
      <c r="C136" t="n">
        <v>3</v>
      </c>
      <c r="D136" t="n">
        <v>9</v>
      </c>
      <c r="F136" t="n">
        <v>8</v>
      </c>
      <c r="G136" t="n">
        <v>6</v>
      </c>
      <c r="I136" t="n">
        <v>5</v>
      </c>
      <c r="J136" t="n">
        <v>7</v>
      </c>
      <c r="K136" t="n">
        <v>9</v>
      </c>
      <c r="L136" t="n">
        <v>9.5</v>
      </c>
      <c r="M136" t="n">
        <v>7</v>
      </c>
      <c r="O136" t="n">
        <v>1</v>
      </c>
      <c r="T136" t="n">
        <v>1</v>
      </c>
      <c r="U136" t="n">
        <v>1</v>
      </c>
      <c r="W136" t="n">
        <v>1</v>
      </c>
      <c r="Y136" t="n">
        <v>1</v>
      </c>
      <c r="Z136" t="n">
        <v>1</v>
      </c>
      <c r="AB136" t="n">
        <v>1</v>
      </c>
      <c r="AC136" t="n">
        <v>1</v>
      </c>
      <c r="AD136" t="n">
        <v>1</v>
      </c>
      <c r="AF136" t="n">
        <v>4</v>
      </c>
      <c r="AG136" t="inlineStr">
        <is>
          <t>retomado</t>
        </is>
      </c>
      <c r="AH136" t="inlineStr">
        <is>
          <t>retomado</t>
        </is>
      </c>
    </row>
    <row r="137">
      <c r="A137" t="inlineStr">
        <is>
          <t>Sostenibilidad de la biosfera</t>
        </is>
      </c>
      <c r="B137" t="inlineStr">
        <is>
          <t>retomado</t>
        </is>
      </c>
      <c r="C137" t="n">
        <v>2</v>
      </c>
      <c r="D137" t="n">
        <v>9</v>
      </c>
      <c r="F137" t="n">
        <v>8</v>
      </c>
      <c r="G137" t="n">
        <v>8.5</v>
      </c>
      <c r="I137" t="n">
        <v>8</v>
      </c>
      <c r="J137" t="n">
        <v>9</v>
      </c>
      <c r="K137" t="n">
        <v>8</v>
      </c>
      <c r="L137" t="n">
        <v>9.5</v>
      </c>
      <c r="M137" t="n">
        <v>7</v>
      </c>
      <c r="O137" t="n">
        <v>1</v>
      </c>
      <c r="P137" t="n">
        <v>1</v>
      </c>
      <c r="S137" t="n">
        <v>1</v>
      </c>
      <c r="U137" t="n">
        <v>1</v>
      </c>
      <c r="W137" t="n">
        <v>1</v>
      </c>
      <c r="X137" t="n">
        <v>1</v>
      </c>
      <c r="Y137" t="n">
        <v>1</v>
      </c>
      <c r="Z137" t="n">
        <v>1</v>
      </c>
      <c r="AA137" t="n">
        <v>1</v>
      </c>
      <c r="AC137" t="n">
        <v>1</v>
      </c>
      <c r="AD137" t="n">
        <v>1</v>
      </c>
      <c r="AF137" t="n">
        <v>2</v>
      </c>
      <c r="AG137" t="inlineStr">
        <is>
          <t>retomado</t>
        </is>
      </c>
      <c r="AH137" t="inlineStr">
        <is>
          <t>retomado</t>
        </is>
      </c>
    </row>
    <row r="138">
      <c r="A138" t="inlineStr">
        <is>
          <t>Sucesión ecológica</t>
        </is>
      </c>
      <c r="B138" t="inlineStr">
        <is>
          <t>retomado</t>
        </is>
      </c>
      <c r="C138" t="n">
        <v>7</v>
      </c>
      <c r="D138" t="n">
        <v>11</v>
      </c>
      <c r="F138" t="n">
        <v>10.5</v>
      </c>
      <c r="I138" t="n">
        <v>9.5</v>
      </c>
      <c r="K138" t="n">
        <v>8</v>
      </c>
      <c r="M138" t="n">
        <v>7</v>
      </c>
      <c r="O138" t="n">
        <v>1</v>
      </c>
      <c r="R138" t="n">
        <v>1</v>
      </c>
      <c r="W138" t="n">
        <v>1</v>
      </c>
      <c r="Y138" t="n">
        <v>1</v>
      </c>
      <c r="Z138" t="n">
        <v>1</v>
      </c>
      <c r="AC138" t="n">
        <v>1</v>
      </c>
      <c r="AE138" t="n">
        <v>1</v>
      </c>
      <c r="AF138" t="n">
        <v>7</v>
      </c>
      <c r="AG138" t="inlineStr">
        <is>
          <t>retomado</t>
        </is>
      </c>
      <c r="AH138" t="inlineStr">
        <is>
          <t>retomado</t>
        </is>
      </c>
    </row>
    <row r="139">
      <c r="A139" t="inlineStr">
        <is>
          <t>Tejidos animales</t>
        </is>
      </c>
      <c r="B139" t="inlineStr">
        <is>
          <t>retomado</t>
        </is>
      </c>
      <c r="C139" t="n">
        <v>4</v>
      </c>
      <c r="D139" t="n">
        <v>9</v>
      </c>
      <c r="E139" t="n">
        <v>7</v>
      </c>
      <c r="F139" t="n">
        <v>8</v>
      </c>
      <c r="K139" t="n">
        <v>9</v>
      </c>
      <c r="L139" t="n">
        <v>11</v>
      </c>
      <c r="M139" t="n">
        <v>9.5</v>
      </c>
      <c r="O139" t="n">
        <v>1</v>
      </c>
      <c r="T139" t="n">
        <v>1</v>
      </c>
      <c r="U139" t="n">
        <v>1</v>
      </c>
      <c r="V139" t="n">
        <v>1</v>
      </c>
      <c r="W139" t="n">
        <v>1</v>
      </c>
      <c r="Y139" t="n">
        <v>1</v>
      </c>
      <c r="Z139" t="n">
        <v>1</v>
      </c>
      <c r="AD139" t="n">
        <v>1</v>
      </c>
      <c r="AE139" t="n">
        <v>1</v>
      </c>
      <c r="AF139" t="n">
        <v>4</v>
      </c>
      <c r="AG139" t="inlineStr">
        <is>
          <t>retomado</t>
        </is>
      </c>
      <c r="AH139" t="inlineStr">
        <is>
          <t>retomado</t>
        </is>
      </c>
    </row>
    <row r="140">
      <c r="A140" t="inlineStr">
        <is>
          <t>Tejidos vegetales</t>
        </is>
      </c>
      <c r="B140" t="inlineStr">
        <is>
          <t>retomado</t>
        </is>
      </c>
      <c r="C140" t="n">
        <v>8</v>
      </c>
      <c r="D140" t="n">
        <v>9</v>
      </c>
      <c r="E140" t="n">
        <v>7</v>
      </c>
      <c r="F140" t="n">
        <v>8</v>
      </c>
      <c r="G140" t="n">
        <v>8.5</v>
      </c>
      <c r="K140" t="n">
        <v>9</v>
      </c>
      <c r="L140" t="n">
        <v>9.5</v>
      </c>
      <c r="M140" t="n">
        <v>7</v>
      </c>
      <c r="O140" t="n">
        <v>1</v>
      </c>
      <c r="P140" t="n">
        <v>1</v>
      </c>
      <c r="T140" t="n">
        <v>1</v>
      </c>
      <c r="U140" t="n">
        <v>1</v>
      </c>
      <c r="W140" t="n">
        <v>1</v>
      </c>
      <c r="Y140" t="n">
        <v>1</v>
      </c>
      <c r="Z140" t="n">
        <v>1</v>
      </c>
      <c r="AC140" t="n">
        <v>1</v>
      </c>
      <c r="AD140" t="n">
        <v>1</v>
      </c>
      <c r="AE140" t="n">
        <v>1</v>
      </c>
      <c r="AF140" t="n">
        <v>8</v>
      </c>
      <c r="AG140" t="inlineStr">
        <is>
          <t>retomado</t>
        </is>
      </c>
      <c r="AH140" t="inlineStr">
        <is>
          <t>retomado</t>
        </is>
      </c>
    </row>
    <row r="141">
      <c r="A141" t="inlineStr">
        <is>
          <t>Tipos de patógenos</t>
        </is>
      </c>
      <c r="B141" t="inlineStr">
        <is>
          <t>retomado</t>
        </is>
      </c>
      <c r="C141" t="n">
        <v>3</v>
      </c>
      <c r="D141" t="n">
        <v>9</v>
      </c>
      <c r="F141" t="n">
        <v>8</v>
      </c>
      <c r="G141" t="n">
        <v>8.5</v>
      </c>
      <c r="L141" t="n">
        <v>9.5</v>
      </c>
      <c r="M141" t="n">
        <v>7</v>
      </c>
      <c r="O141" t="n">
        <v>1</v>
      </c>
      <c r="P141" t="n">
        <v>1</v>
      </c>
      <c r="U141" t="n">
        <v>1</v>
      </c>
      <c r="W141" t="n">
        <v>1</v>
      </c>
      <c r="Y141" t="n">
        <v>1</v>
      </c>
      <c r="Z141" t="n">
        <v>1</v>
      </c>
      <c r="AB141" t="n">
        <v>1</v>
      </c>
      <c r="AD141" t="n">
        <v>1</v>
      </c>
      <c r="AF141" t="n">
        <v>3</v>
      </c>
      <c r="AG141" t="inlineStr">
        <is>
          <t>retomado</t>
        </is>
      </c>
      <c r="AH141" t="inlineStr">
        <is>
          <t>retomado</t>
        </is>
      </c>
    </row>
    <row r="142">
      <c r="A142" t="inlineStr">
        <is>
          <t>Transporte activo y endocitosis</t>
        </is>
      </c>
      <c r="B142" t="inlineStr">
        <is>
          <t>retomado</t>
        </is>
      </c>
      <c r="C142" t="n">
        <v>6</v>
      </c>
      <c r="D142" t="n">
        <v>10</v>
      </c>
      <c r="F142" t="n">
        <v>10.5</v>
      </c>
      <c r="G142" t="n">
        <v>8.5</v>
      </c>
      <c r="L142" t="n">
        <v>11</v>
      </c>
      <c r="O142" t="n">
        <v>1</v>
      </c>
      <c r="P142" t="n">
        <v>1</v>
      </c>
      <c r="U142" t="n">
        <v>1</v>
      </c>
      <c r="W142" t="n">
        <v>1</v>
      </c>
      <c r="Y142" t="n">
        <v>1</v>
      </c>
      <c r="Z142" t="n">
        <v>1</v>
      </c>
      <c r="AB142" t="n">
        <v>1</v>
      </c>
      <c r="AC142" t="n">
        <v>1</v>
      </c>
      <c r="AD142" t="n">
        <v>1</v>
      </c>
      <c r="AE142" t="n">
        <v>1</v>
      </c>
      <c r="AF142" t="n">
        <v>6</v>
      </c>
      <c r="AG142" t="inlineStr">
        <is>
          <t>retomado</t>
        </is>
      </c>
      <c r="AH142" t="inlineStr">
        <is>
          <t>retomado</t>
        </is>
      </c>
    </row>
    <row r="143">
      <c r="A143" t="inlineStr">
        <is>
          <t>Transporte en plantas: xilema y floema</t>
        </is>
      </c>
      <c r="B143" t="inlineStr">
        <is>
          <t>retomado</t>
        </is>
      </c>
      <c r="C143" t="n">
        <v>6</v>
      </c>
      <c r="D143" t="n">
        <v>11</v>
      </c>
      <c r="G143" t="n">
        <v>2</v>
      </c>
      <c r="I143" t="n">
        <v>5</v>
      </c>
      <c r="L143" t="n">
        <v>9.5</v>
      </c>
      <c r="M143" t="n">
        <v>7</v>
      </c>
      <c r="U143" t="n">
        <v>1</v>
      </c>
      <c r="W143" t="n">
        <v>1</v>
      </c>
      <c r="Y143" t="n">
        <v>1</v>
      </c>
      <c r="Z143" t="n">
        <v>1</v>
      </c>
      <c r="AE143" t="n">
        <v>1</v>
      </c>
      <c r="AF143" t="n">
        <v>8</v>
      </c>
      <c r="AG143" t="inlineStr">
        <is>
          <t>retomado</t>
        </is>
      </c>
      <c r="AH143" t="inlineStr">
        <is>
          <t>retomado</t>
        </is>
      </c>
    </row>
    <row r="144">
      <c r="A144" t="inlineStr">
        <is>
          <t>Tropismos y hormonas vegetales</t>
        </is>
      </c>
      <c r="B144" t="inlineStr">
        <is>
          <t>retomado</t>
        </is>
      </c>
      <c r="C144" t="n">
        <v>3</v>
      </c>
      <c r="D144" t="n">
        <v>11</v>
      </c>
      <c r="Y144" t="n">
        <v>1</v>
      </c>
      <c r="AA144" t="n">
        <v>1</v>
      </c>
      <c r="AC144" t="n">
        <v>1</v>
      </c>
      <c r="AE144" t="n">
        <v>1</v>
      </c>
      <c r="AF144" t="n">
        <v>3</v>
      </c>
      <c r="AG144" t="inlineStr">
        <is>
          <t>retomado</t>
        </is>
      </c>
      <c r="AH144" t="inlineStr">
        <is>
          <t>retomado</t>
        </is>
      </c>
    </row>
    <row r="145">
      <c r="A145" t="inlineStr">
        <is>
          <t>Variación genética en la descendencia</t>
        </is>
      </c>
      <c r="B145" t="inlineStr">
        <is>
          <t>retomado</t>
        </is>
      </c>
      <c r="C145" t="n">
        <v>6</v>
      </c>
      <c r="D145" t="n">
        <v>11</v>
      </c>
      <c r="F145" t="n">
        <v>8</v>
      </c>
      <c r="G145" t="n">
        <v>4</v>
      </c>
      <c r="J145" t="n">
        <v>7</v>
      </c>
      <c r="L145" t="n">
        <v>9.5</v>
      </c>
      <c r="M145" t="n">
        <v>7</v>
      </c>
      <c r="O145" t="n">
        <v>1</v>
      </c>
      <c r="P145" t="n">
        <v>1</v>
      </c>
      <c r="S145" t="n">
        <v>1</v>
      </c>
      <c r="U145" t="n">
        <v>1</v>
      </c>
      <c r="V145" t="n">
        <v>1</v>
      </c>
      <c r="W145" t="n">
        <v>1</v>
      </c>
      <c r="Y145" t="n">
        <v>1</v>
      </c>
      <c r="Z145" t="n">
        <v>1</v>
      </c>
      <c r="AA145" t="n">
        <v>1</v>
      </c>
      <c r="AB145" t="n">
        <v>1</v>
      </c>
      <c r="AC145" t="n">
        <v>1</v>
      </c>
      <c r="AD145" t="n">
        <v>1</v>
      </c>
      <c r="AE145" t="n">
        <v>1</v>
      </c>
      <c r="AF145" t="n">
        <v>7</v>
      </c>
      <c r="AG145" t="inlineStr">
        <is>
          <t>retomado</t>
        </is>
      </c>
      <c r="AH145" t="inlineStr">
        <is>
          <t>retomado</t>
        </is>
      </c>
    </row>
    <row r="146">
      <c r="A146" t="inlineStr">
        <is>
          <t>Adaptaciones fisiológicas</t>
        </is>
      </c>
      <c r="B146" t="inlineStr">
        <is>
          <t>sin_referente</t>
        </is>
      </c>
      <c r="C146" t="n">
        <v>10</v>
      </c>
      <c r="D146" t="n">
        <v>10</v>
      </c>
      <c r="F146" t="n">
        <v>8</v>
      </c>
      <c r="O146" t="n">
        <v>1</v>
      </c>
      <c r="W146" t="n">
        <v>1</v>
      </c>
      <c r="Y146" t="n">
        <v>1</v>
      </c>
      <c r="AF146" t="n">
        <v>10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Equilibrio de Hardy-Weinberg</t>
        </is>
      </c>
      <c r="B147" t="inlineStr">
        <is>
          <t>sin_referente</t>
        </is>
      </c>
      <c r="C147" t="n">
        <v>11</v>
      </c>
      <c r="D147" t="n">
        <v>11</v>
      </c>
      <c r="AD147" t="n">
        <v>1</v>
      </c>
      <c r="AE147" t="n">
        <v>1</v>
      </c>
      <c r="AF147" t="n">
        <v>11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Capacidad de carga</t>
        </is>
      </c>
      <c r="B148" t="inlineStr">
        <is>
          <t>solo_especializacion</t>
        </is>
      </c>
      <c r="C148" t="n">
        <v>11</v>
      </c>
      <c r="D148" t="n">
        <v>11</v>
      </c>
      <c r="F148" t="n">
        <v>10.5</v>
      </c>
      <c r="J148" t="n">
        <v>9</v>
      </c>
      <c r="M148" t="n">
        <v>7</v>
      </c>
      <c r="O148" t="n">
        <v>1</v>
      </c>
      <c r="S148" t="n">
        <v>1</v>
      </c>
      <c r="W148" t="n">
        <v>1</v>
      </c>
      <c r="Y148" t="n">
        <v>1</v>
      </c>
      <c r="AC148" t="n">
        <v>1</v>
      </c>
      <c r="AF148" t="n">
        <v>11</v>
      </c>
      <c r="AG148" t="inlineStr">
        <is>
          <t>solo_especializacion</t>
        </is>
      </c>
      <c r="AH148" t="inlineStr">
        <is>
          <t>solo_especializacion</t>
        </is>
      </c>
    </row>
    <row r="149">
      <c r="A149" t="inlineStr">
        <is>
          <t>Secuenciación del ADN y perfiles genéticos</t>
        </is>
      </c>
      <c r="B149" t="inlineStr">
        <is>
          <t>solo_especializacion</t>
        </is>
      </c>
      <c r="C149" t="n">
        <v>9</v>
      </c>
      <c r="D149" t="n">
        <v>9</v>
      </c>
      <c r="G149" t="n">
        <v>8.5</v>
      </c>
      <c r="P149" t="n">
        <v>1</v>
      </c>
      <c r="W149" t="n">
        <v>1</v>
      </c>
      <c r="Y149" t="n">
        <v>1</v>
      </c>
      <c r="Z149" t="n">
        <v>1</v>
      </c>
      <c r="AA149" t="n">
        <v>1</v>
      </c>
      <c r="AC149" t="n">
        <v>1</v>
      </c>
      <c r="AD149" t="n">
        <v>1</v>
      </c>
      <c r="AE149" t="n">
        <v>1</v>
      </c>
      <c r="AF149" t="n">
        <v>10</v>
      </c>
      <c r="AG149" t="inlineStr">
        <is>
          <t>solo_especializacion</t>
        </is>
      </c>
      <c r="AH149" t="inlineStr">
        <is>
          <t>solo_especializacion</t>
        </is>
      </c>
    </row>
    <row r="150">
      <c r="A150" t="inlineStr">
        <is>
          <t>Glucólisis, ciclo de Krebs y cadena respiratoria</t>
        </is>
      </c>
      <c r="B150" t="inlineStr">
        <is>
          <t>solo_especializacion</t>
        </is>
      </c>
      <c r="C150" t="n">
        <v>10</v>
      </c>
      <c r="D150" t="n">
        <v>10</v>
      </c>
      <c r="L150" t="n">
        <v>11</v>
      </c>
      <c r="U150" t="n">
        <v>1</v>
      </c>
      <c r="Y150" t="n">
        <v>1</v>
      </c>
      <c r="Z150" t="n">
        <v>1</v>
      </c>
      <c r="AB150" t="n">
        <v>1</v>
      </c>
      <c r="AC150" t="n">
        <v>1</v>
      </c>
      <c r="AD150" t="n">
        <v>1</v>
      </c>
      <c r="AE150" t="n">
        <v>1</v>
      </c>
      <c r="AF150" t="n">
        <v>10</v>
      </c>
      <c r="AG150" t="inlineStr">
        <is>
          <t>solo_especializacion</t>
        </is>
      </c>
      <c r="AH150" t="inlineStr">
        <is>
          <t>solo_especializacion</t>
        </is>
      </c>
    </row>
    <row r="151">
      <c r="A151" t="inlineStr">
        <is>
          <t>Nutrición mineral de las plantas</t>
        </is>
      </c>
      <c r="B151" t="inlineStr">
        <is>
          <t>solo_especializacion</t>
        </is>
      </c>
      <c r="C151" t="n">
        <v>11</v>
      </c>
      <c r="D151" t="n">
        <v>11</v>
      </c>
      <c r="F151" t="n">
        <v>8</v>
      </c>
      <c r="G151" t="n">
        <v>2</v>
      </c>
      <c r="I151" t="n">
        <v>4</v>
      </c>
      <c r="L151" t="n">
        <v>9.5</v>
      </c>
      <c r="O151" t="n">
        <v>1</v>
      </c>
      <c r="P151" t="n">
        <v>1</v>
      </c>
      <c r="U151" t="n">
        <v>1</v>
      </c>
      <c r="Y151" t="n">
        <v>1</v>
      </c>
      <c r="Z151" t="n">
        <v>1</v>
      </c>
      <c r="AC151" t="n">
        <v>1</v>
      </c>
      <c r="AD151" t="n">
        <v>1</v>
      </c>
      <c r="AF151" t="n">
        <v>11</v>
      </c>
      <c r="AG151" t="inlineStr">
        <is>
          <t>solo_especializacion</t>
        </is>
      </c>
      <c r="AH151" t="inlineStr">
        <is>
          <t>solo_especializacion</t>
        </is>
      </c>
    </row>
    <row r="152">
      <c r="A152" t="inlineStr">
        <is>
          <t>Presión y flujo de fluidos en los seres vivos</t>
        </is>
      </c>
      <c r="B152" t="inlineStr">
        <is>
          <t>solo_especializacion</t>
        </is>
      </c>
      <c r="C152" t="n">
        <v>11</v>
      </c>
      <c r="D152" t="n">
        <v>11</v>
      </c>
      <c r="L152" t="n">
        <v>9.5</v>
      </c>
      <c r="M152" t="n">
        <v>7</v>
      </c>
      <c r="U152" t="n">
        <v>1</v>
      </c>
      <c r="Z152" t="n">
        <v>1</v>
      </c>
      <c r="AC152" t="n">
        <v>1</v>
      </c>
      <c r="AD152" t="n">
        <v>1</v>
      </c>
      <c r="AF152" t="n">
        <v>11</v>
      </c>
      <c r="AG152" t="inlineStr">
        <is>
          <t>solo_especializacion</t>
        </is>
      </c>
      <c r="AH152" t="inlineStr">
        <is>
          <t>solo_especializacion</t>
        </is>
      </c>
    </row>
    <row r="153">
      <c r="A153" t="inlineStr">
        <is>
          <t>Regulación de la expresión génica</t>
        </is>
      </c>
      <c r="B153" t="inlineStr">
        <is>
          <t>solo_especializacion</t>
        </is>
      </c>
      <c r="C153" t="n">
        <v>9</v>
      </c>
      <c r="D153" t="n">
        <v>9</v>
      </c>
      <c r="F153" t="n">
        <v>8</v>
      </c>
      <c r="G153" t="n">
        <v>8.5</v>
      </c>
      <c r="I153" t="n">
        <v>9.5</v>
      </c>
      <c r="J153" t="n">
        <v>9</v>
      </c>
      <c r="L153" t="n">
        <v>11</v>
      </c>
      <c r="O153" t="n">
        <v>1</v>
      </c>
      <c r="P153" t="n">
        <v>1</v>
      </c>
      <c r="R153" t="n">
        <v>1</v>
      </c>
      <c r="S153" t="n">
        <v>1</v>
      </c>
      <c r="U153" t="n">
        <v>1</v>
      </c>
      <c r="W153" t="n">
        <v>1</v>
      </c>
      <c r="Y153" t="n">
        <v>1</v>
      </c>
      <c r="Z153" t="n">
        <v>1</v>
      </c>
      <c r="AA153" t="n">
        <v>1</v>
      </c>
      <c r="AB153" t="n">
        <v>1</v>
      </c>
      <c r="AC153" t="n">
        <v>1</v>
      </c>
      <c r="AD153" t="n">
        <v>1</v>
      </c>
      <c r="AE153" t="n">
        <v>1</v>
      </c>
      <c r="AF153" t="n">
        <v>9</v>
      </c>
      <c r="AG153" t="inlineStr">
        <is>
          <t>solo_especializacion</t>
        </is>
      </c>
      <c r="AH153" t="inlineStr">
        <is>
          <t>solo_especializacion</t>
        </is>
      </c>
    </row>
    <row r="154">
      <c r="A154" t="inlineStr">
        <is>
          <t>Termorregulación</t>
        </is>
      </c>
      <c r="B154" t="inlineStr">
        <is>
          <t>solo_especializacion</t>
        </is>
      </c>
      <c r="C154" t="n">
        <v>10</v>
      </c>
      <c r="D154" t="n">
        <v>10</v>
      </c>
      <c r="F154" t="n">
        <v>8</v>
      </c>
      <c r="G154" t="n">
        <v>8.5</v>
      </c>
      <c r="O154" t="n">
        <v>1</v>
      </c>
      <c r="W154" t="n">
        <v>1</v>
      </c>
      <c r="Y154" t="n">
        <v>1</v>
      </c>
      <c r="Z154" t="n">
        <v>1</v>
      </c>
      <c r="AC154" t="n">
        <v>1</v>
      </c>
      <c r="AD154" t="n">
        <v>1</v>
      </c>
      <c r="AF154" t="n">
        <v>10</v>
      </c>
      <c r="AG154" t="inlineStr">
        <is>
          <t>solo_especializacion</t>
        </is>
      </c>
      <c r="AH154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SV",""),IF(G143="",IF(H143&gt;=5,"no retomado en 9-11","previo"),IF(B143&lt;9,"retomado",IF(AND(C143&lt;=1,E143&gt;=3),"solo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SV",""),IF(G144="",IF(H144&gt;=5,"no retomado en 9-11","previo"),IF(B144&lt;9,"retomado",IF(AND(C144&lt;=1,E144&gt;=3),"solo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SV",""),IF(G145="",IF(H145&gt;=5,"no retomado en 9-11","previo"),IF(B145&lt;9,"retomado",IF(AND(C145&lt;=1,E145&gt;=3),"solo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SV",""),IF(G146="",IF(H146&gt;=5,"no retomado en 9-11","previo"),IF(B146&lt;9,"retomado",IF(AND(C146&lt;=1,E146&gt;=3),"solo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SV",""),IF(G147="",IF(H147&gt;=5,"no retomado en 9-11","previo"),IF(B147&lt;9,"retomado",IF(AND(C147&lt;=1,E147&gt;=3),"solo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SV",""),IF(G148="",IF(H148&gt;=5,"no retomado en 9-11","previo"),IF(B148&lt;9,"retomado",IF(AND(C148&lt;=1,E148&gt;=3),"solo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SV",""),IF(G149="",IF(H149&gt;=5,"no retomado en 9-11","previo"),IF(B149&lt;9,"retomado",IF(AND(C149&lt;=1,E149&gt;=3),"solo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SV",""),IF(G150="",IF(H150&gt;=5,"no retomado en 9-11","previo"),IF(B150&lt;9,"retomado",IF(AND(C150&lt;=1,E150&gt;=3),"solo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SV",""),IF(G151="",IF(H151&gt;=5,"no retomado en 9-11","previo"),IF(B151&lt;9,"retomado",IF(AND(C151&lt;=1,E151&gt;=3),"solo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SV",""),IF(G152="",IF(H152&gt;=5,"no retomado en 9-11","previo"),IF(B152&lt;9,"retomado",IF(AND(C152&lt;=1,E152&gt;=3),"solo especializacion",IF(F152="","coherente",IF(F152&lt;=-1.5,"SV adelantado",IF(F152&gt;=2,"SV tarde","coherente")))))))</f>
        <v/>
      </c>
      <c r="J152">
        <f>Datos!B152</f>
        <v/>
      </c>
    </row>
    <row r="153">
      <c r="A153">
        <f>Datos!A153</f>
        <v/>
      </c>
      <c r="B153">
        <f>IF(Datos!C153="","",Datos!C153)</f>
        <v/>
      </c>
      <c r="C153">
        <f>COUNT(Datos!E153:M153)</f>
        <v/>
      </c>
      <c r="D153">
        <f>IF(C153=0,"",MEDIAN(Datos!E153:M153))</f>
        <v/>
      </c>
      <c r="E153">
        <f>COUNT(Datos!W153:AE153)</f>
        <v/>
      </c>
      <c r="F153">
        <f>IF(OR(B153="",D153=""),"",B153-D153)</f>
        <v/>
      </c>
      <c r="G153">
        <f>IF(Datos!D153="","",Datos!D153)</f>
        <v/>
      </c>
      <c r="H153">
        <f>COUNT(Datos!N153:V153)</f>
        <v/>
      </c>
      <c r="I153">
        <f>IF(B153="",IF(C153&gt;=5,"falta en SV",""),IF(G153="",IF(H153&gt;=5,"no retomado en 9-11","previo"),IF(B153&lt;9,"retomado",IF(AND(C153&lt;=1,E153&gt;=3),"solo especializacion",IF(F153="","coherente",IF(F153&lt;=-1.5,"SV adelantado",IF(F153&gt;=2,"SV tarde","coherente")))))))</f>
        <v/>
      </c>
      <c r="J153">
        <f>Datos!B153</f>
        <v/>
      </c>
    </row>
    <row r="154">
      <c r="A154">
        <f>Datos!A154</f>
        <v/>
      </c>
      <c r="B154">
        <f>IF(Datos!C154="","",Datos!C154)</f>
        <v/>
      </c>
      <c r="C154">
        <f>COUNT(Datos!E154:M154)</f>
        <v/>
      </c>
      <c r="D154">
        <f>IF(C154=0,"",MEDIAN(Datos!E154:M154))</f>
        <v/>
      </c>
      <c r="E154">
        <f>COUNT(Datos!W154:AE154)</f>
        <v/>
      </c>
      <c r="F154">
        <f>IF(OR(B154="",D154=""),"",B154-D154)</f>
        <v/>
      </c>
      <c r="G154">
        <f>IF(Datos!D154="","",Datos!D154)</f>
        <v/>
      </c>
      <c r="H154">
        <f>COUNT(Datos!N154:V154)</f>
        <v/>
      </c>
      <c r="I154">
        <f>IF(B154="",IF(C154&gt;=5,"falta en SV",""),IF(G154="",IF(H154&gt;=5,"no retomado en 9-11","previo"),IF(B154&lt;9,"retomado",IF(AND(C154&lt;=1,E154&gt;=3),"solo especializacion",IF(F154="","coherente",IF(F154&lt;=-1.5,"SV adelantado",IF(F154&gt;=2,"SV tarde","coherente")))))))</f>
        <v/>
      </c>
      <c r="J154">
        <f>Datos!B154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COUNTIF(Datos!B2:B154,A2)</f>
        <v/>
      </c>
    </row>
    <row r="3">
      <c r="A3" t="inlineStr">
        <is>
          <t>no_retomado</t>
        </is>
      </c>
      <c r="B3">
        <f>COUNTIF(Datos!B2:B154,A3)</f>
        <v/>
      </c>
    </row>
    <row r="4">
      <c r="A4" t="inlineStr">
        <is>
          <t>tardio</t>
        </is>
      </c>
      <c r="B4">
        <f>COUNTIF(Datos!B2:B154,A4)</f>
        <v/>
      </c>
    </row>
    <row r="5">
      <c r="A5" t="inlineStr">
        <is>
          <t>solo_especializacion</t>
        </is>
      </c>
      <c r="B5">
        <f>COUNTIF(Datos!B2:B154,A5)</f>
        <v/>
      </c>
    </row>
    <row r="6">
      <c r="A6" t="inlineStr">
        <is>
          <t>adelantado</t>
        </is>
      </c>
      <c r="B6">
        <f>COUNTIF(Datos!B2:B154,A6)</f>
        <v/>
      </c>
    </row>
    <row r="7">
      <c r="A7" t="inlineStr">
        <is>
          <t>sin_referente</t>
        </is>
      </c>
      <c r="B7">
        <f>COUNTIF(Datos!B2:B154,A7)</f>
        <v/>
      </c>
    </row>
    <row r="8">
      <c r="A8" t="inlineStr">
        <is>
          <t>alineado</t>
        </is>
      </c>
      <c r="B8">
        <f>COUNTIF(Datos!B2:B154,A8)</f>
        <v/>
      </c>
    </row>
    <row r="9">
      <c r="A9" t="inlineStr">
        <is>
          <t>retomado</t>
        </is>
      </c>
      <c r="B9">
        <f>COUNTIF(Datos!B2:B154,A9)</f>
        <v/>
      </c>
    </row>
    <row r="10">
      <c r="A10" t="inlineStr">
        <is>
          <t>previo</t>
        </is>
      </c>
      <c r="B10">
        <f>COUNTIF(Datos!B2:B154,A10)</f>
        <v/>
      </c>
    </row>
    <row r="11">
      <c r="A11" t="inlineStr">
        <is>
          <t>incierto</t>
        </is>
      </c>
      <c r="B11">
        <f>COUNTIF(Datos!B2:B154,A11)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