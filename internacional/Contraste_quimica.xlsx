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9-11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9-11</t>
        </is>
      </c>
      <c r="O1" s="1" t="inlineStr">
        <is>
          <t>EE nucleo 9-11</t>
        </is>
      </c>
      <c r="P1" s="1" t="inlineStr">
        <is>
          <t>ENG nucleo 9-11</t>
        </is>
      </c>
      <c r="Q1" s="1" t="inlineStr">
        <is>
          <t>HK nucleo 9-11</t>
        </is>
      </c>
      <c r="R1" s="1" t="inlineStr">
        <is>
          <t>JP nucleo 9-11</t>
        </is>
      </c>
      <c r="S1" s="1" t="inlineStr">
        <is>
          <t>KR nucleo 9-11</t>
        </is>
      </c>
      <c r="T1" s="1" t="inlineStr">
        <is>
          <t>ON nucleo 9-11</t>
        </is>
      </c>
      <c r="U1" s="1" t="inlineStr">
        <is>
          <t>SG nucleo 9-11</t>
        </is>
      </c>
      <c r="V1" s="1" t="inlineStr">
        <is>
          <t>TW nucleo 9-11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Agentes oxidantes y reductores</t>
        </is>
      </c>
      <c r="B2" t="inlineStr">
        <is>
          <t>alineado</t>
        </is>
      </c>
      <c r="C2" t="n">
        <v>10</v>
      </c>
      <c r="D2" t="n">
        <v>10</v>
      </c>
      <c r="F2" t="n">
        <v>8</v>
      </c>
      <c r="G2" t="n">
        <v>8.5</v>
      </c>
      <c r="I2" t="n">
        <v>9.5</v>
      </c>
      <c r="L2" t="n">
        <v>9.5</v>
      </c>
      <c r="M2" t="n">
        <v>7</v>
      </c>
      <c r="O2" t="n">
        <v>1</v>
      </c>
      <c r="P2" t="n">
        <v>1</v>
      </c>
      <c r="R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10</v>
      </c>
      <c r="AG2" t="inlineStr">
        <is>
          <t>alineado</t>
        </is>
      </c>
      <c r="AH2" t="inlineStr">
        <is>
          <t>alineado</t>
        </is>
      </c>
    </row>
    <row r="3">
      <c r="A3" t="inlineStr">
        <is>
          <t>Aminoácidos y estructura de las proteínas</t>
        </is>
      </c>
      <c r="B3" t="inlineStr">
        <is>
          <t>alineado</t>
        </is>
      </c>
      <c r="C3" t="n">
        <v>6</v>
      </c>
      <c r="D3" t="n">
        <v>10</v>
      </c>
      <c r="F3" t="n">
        <v>10.5</v>
      </c>
      <c r="I3" t="n">
        <v>9.5</v>
      </c>
      <c r="L3" t="n">
        <v>11</v>
      </c>
      <c r="M3" t="n">
        <v>9.5</v>
      </c>
      <c r="O3" t="n">
        <v>1</v>
      </c>
      <c r="R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D3" t="n">
        <v>1</v>
      </c>
      <c r="AF3" t="n">
        <v>10</v>
      </c>
      <c r="AG3" t="inlineStr">
        <is>
          <t>retomado</t>
        </is>
      </c>
      <c r="AH3" t="inlineStr">
        <is>
          <t>alineado</t>
        </is>
      </c>
    </row>
    <row r="4">
      <c r="A4" t="inlineStr">
        <is>
          <t>Metales, cerámicas y materiales compuestos</t>
        </is>
      </c>
      <c r="B4" t="inlineStr">
        <is>
          <t>alineado</t>
        </is>
      </c>
      <c r="C4" t="n">
        <v>10</v>
      </c>
      <c r="D4" t="n">
        <v>10</v>
      </c>
      <c r="F4" t="n">
        <v>8</v>
      </c>
      <c r="G4" t="n">
        <v>6</v>
      </c>
      <c r="I4" t="n">
        <v>8</v>
      </c>
      <c r="L4" t="n">
        <v>9.5</v>
      </c>
      <c r="M4" t="n">
        <v>7</v>
      </c>
      <c r="O4" t="n">
        <v>1</v>
      </c>
      <c r="R4" t="n">
        <v>1</v>
      </c>
      <c r="U4" t="n">
        <v>1</v>
      </c>
      <c r="V4" t="n">
        <v>1</v>
      </c>
      <c r="Y4" t="n">
        <v>1</v>
      </c>
      <c r="Z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10</v>
      </c>
      <c r="AG4" t="inlineStr">
        <is>
          <t>alineado</t>
        </is>
      </c>
      <c r="AH4" t="inlineStr">
        <is>
          <t>alineado</t>
        </is>
      </c>
    </row>
    <row r="5">
      <c r="A5" t="inlineStr">
        <is>
          <t>Conservación de la masa</t>
        </is>
      </c>
      <c r="B5" t="inlineStr">
        <is>
          <t>alineado</t>
        </is>
      </c>
      <c r="C5" t="n">
        <v>7</v>
      </c>
      <c r="D5" t="n">
        <v>10</v>
      </c>
      <c r="E5" t="n">
        <v>8</v>
      </c>
      <c r="F5" t="n">
        <v>8</v>
      </c>
      <c r="G5" t="n">
        <v>6</v>
      </c>
      <c r="I5" t="n">
        <v>2</v>
      </c>
      <c r="J5" t="n">
        <v>7</v>
      </c>
      <c r="K5" t="n">
        <v>9</v>
      </c>
      <c r="L5" t="n">
        <v>9.5</v>
      </c>
      <c r="M5" t="n">
        <v>7</v>
      </c>
      <c r="O5" t="n">
        <v>1</v>
      </c>
      <c r="P5" t="n">
        <v>1</v>
      </c>
      <c r="R5" t="n">
        <v>1</v>
      </c>
      <c r="T5" t="n">
        <v>1</v>
      </c>
      <c r="U5" t="n">
        <v>1</v>
      </c>
      <c r="V5" t="n">
        <v>1</v>
      </c>
      <c r="W5" t="n">
        <v>1</v>
      </c>
      <c r="Y5" t="n">
        <v>1</v>
      </c>
      <c r="Z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10</v>
      </c>
      <c r="AG5" t="inlineStr">
        <is>
          <t>retomado</t>
        </is>
      </c>
      <c r="AH5" t="inlineStr">
        <is>
          <t>alineado</t>
        </is>
      </c>
    </row>
    <row r="6">
      <c r="A6" t="inlineStr">
        <is>
          <t>El carbono y las moléculas orgánicas</t>
        </is>
      </c>
      <c r="B6" t="inlineStr">
        <is>
          <t>alineado</t>
        </is>
      </c>
      <c r="C6" t="n">
        <v>10</v>
      </c>
      <c r="D6" t="n">
        <v>10</v>
      </c>
      <c r="F6" t="n">
        <v>8</v>
      </c>
      <c r="G6" t="n">
        <v>8.5</v>
      </c>
      <c r="L6" t="n">
        <v>9.5</v>
      </c>
      <c r="M6" t="n">
        <v>7</v>
      </c>
      <c r="O6" t="n">
        <v>1</v>
      </c>
      <c r="P6" t="n">
        <v>1</v>
      </c>
      <c r="U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11</v>
      </c>
      <c r="AG6" t="inlineStr">
        <is>
          <t>alineado</t>
        </is>
      </c>
      <c r="AH6" t="inlineStr">
        <is>
          <t>alineado</t>
        </is>
      </c>
    </row>
    <row r="7">
      <c r="A7" t="inlineStr">
        <is>
          <t>Electrólisis y celdas electrolíticas</t>
        </is>
      </c>
      <c r="B7" t="inlineStr">
        <is>
          <t>alineado</t>
        </is>
      </c>
      <c r="C7" t="n">
        <v>10</v>
      </c>
      <c r="D7" t="n">
        <v>10</v>
      </c>
      <c r="F7" t="n">
        <v>10.5</v>
      </c>
      <c r="G7" t="n">
        <v>8.5</v>
      </c>
      <c r="I7" t="n">
        <v>8</v>
      </c>
      <c r="M7" t="n">
        <v>7</v>
      </c>
      <c r="O7" t="n">
        <v>1</v>
      </c>
      <c r="P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10</v>
      </c>
      <c r="AG7" t="inlineStr">
        <is>
          <t>alineado</t>
        </is>
      </c>
      <c r="AH7" t="inlineStr">
        <is>
          <t>alineado</t>
        </is>
      </c>
    </row>
    <row r="8">
      <c r="A8" t="inlineStr">
        <is>
          <t>Electrolitos fuertes y débiles</t>
        </is>
      </c>
      <c r="B8" t="inlineStr">
        <is>
          <t>alineado</t>
        </is>
      </c>
      <c r="C8" t="n">
        <v>9</v>
      </c>
      <c r="D8" t="n">
        <v>9</v>
      </c>
      <c r="F8" t="n">
        <v>8</v>
      </c>
      <c r="G8" t="n">
        <v>8.5</v>
      </c>
      <c r="I8" t="n">
        <v>8</v>
      </c>
      <c r="L8" t="n">
        <v>11</v>
      </c>
      <c r="M8" t="n">
        <v>7</v>
      </c>
      <c r="O8" t="n">
        <v>1</v>
      </c>
      <c r="P8" t="n">
        <v>1</v>
      </c>
      <c r="U8" t="n">
        <v>1</v>
      </c>
      <c r="V8" t="n">
        <v>1</v>
      </c>
      <c r="Y8" t="n">
        <v>1</v>
      </c>
      <c r="Z8" t="n">
        <v>1</v>
      </c>
      <c r="AB8" t="n">
        <v>1</v>
      </c>
      <c r="AC8" t="n">
        <v>1</v>
      </c>
      <c r="AD8" t="n">
        <v>1</v>
      </c>
      <c r="AF8" t="n">
        <v>9</v>
      </c>
      <c r="AG8" t="inlineStr">
        <is>
          <t>alineado</t>
        </is>
      </c>
      <c r="AH8" t="inlineStr">
        <is>
          <t>alineado</t>
        </is>
      </c>
    </row>
    <row r="9">
      <c r="A9" t="inlineStr">
        <is>
          <t>Energía de activación y perfil energético</t>
        </is>
      </c>
      <c r="B9" t="inlineStr">
        <is>
          <t>alineado</t>
        </is>
      </c>
      <c r="C9" t="n">
        <v>5</v>
      </c>
      <c r="D9" t="n">
        <v>10</v>
      </c>
      <c r="F9" t="n">
        <v>10.5</v>
      </c>
      <c r="G9" t="n">
        <v>8.5</v>
      </c>
      <c r="L9" t="n">
        <v>9.5</v>
      </c>
      <c r="O9" t="n">
        <v>1</v>
      </c>
      <c r="P9" t="n">
        <v>1</v>
      </c>
      <c r="U9" t="n">
        <v>1</v>
      </c>
      <c r="W9" t="n">
        <v>1</v>
      </c>
      <c r="X9" t="n">
        <v>1</v>
      </c>
      <c r="Y9" t="n">
        <v>1</v>
      </c>
      <c r="Z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10</v>
      </c>
      <c r="AG9" t="inlineStr">
        <is>
          <t>retomado</t>
        </is>
      </c>
      <c r="AH9" t="inlineStr">
        <is>
          <t>alineado</t>
        </is>
      </c>
    </row>
    <row r="10">
      <c r="A10" t="inlineStr">
        <is>
          <t>Enlace químico</t>
        </is>
      </c>
      <c r="B10" t="inlineStr">
        <is>
          <t>alineado</t>
        </is>
      </c>
      <c r="C10" t="n">
        <v>5</v>
      </c>
      <c r="D10" t="n">
        <v>10</v>
      </c>
      <c r="F10" t="n">
        <v>8</v>
      </c>
      <c r="G10" t="n">
        <v>8.5</v>
      </c>
      <c r="J10" t="n">
        <v>9</v>
      </c>
      <c r="L10" t="n">
        <v>9.5</v>
      </c>
      <c r="M10" t="n">
        <v>9.5</v>
      </c>
      <c r="O10" t="n">
        <v>1</v>
      </c>
      <c r="P10" t="n">
        <v>1</v>
      </c>
      <c r="S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10</v>
      </c>
      <c r="AG10" t="inlineStr">
        <is>
          <t>retomado</t>
        </is>
      </c>
      <c r="AH10" t="inlineStr">
        <is>
          <t>alineado</t>
        </is>
      </c>
    </row>
    <row r="11">
      <c r="A11" t="inlineStr">
        <is>
          <t>Entalpía de reacción y ecuaciones termoquímicas</t>
        </is>
      </c>
      <c r="B11" t="inlineStr">
        <is>
          <t>alineado</t>
        </is>
      </c>
      <c r="C11" t="n">
        <v>10</v>
      </c>
      <c r="D11" t="n">
        <v>10</v>
      </c>
      <c r="F11" t="n">
        <v>8</v>
      </c>
      <c r="G11" t="n">
        <v>8.5</v>
      </c>
      <c r="L11" t="n">
        <v>11</v>
      </c>
      <c r="M11" t="n">
        <v>7</v>
      </c>
      <c r="O11" t="n">
        <v>1</v>
      </c>
      <c r="P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10</v>
      </c>
      <c r="AG11" t="inlineStr">
        <is>
          <t>alineado</t>
        </is>
      </c>
      <c r="AH11" t="inlineStr">
        <is>
          <t>alineado</t>
        </is>
      </c>
    </row>
    <row r="12">
      <c r="A12" t="inlineStr">
        <is>
          <t>Equilibrio químico dinámico</t>
        </is>
      </c>
      <c r="B12" t="inlineStr">
        <is>
          <t>alineado</t>
        </is>
      </c>
      <c r="C12" t="n">
        <v>6</v>
      </c>
      <c r="D12" t="n">
        <v>9</v>
      </c>
      <c r="F12" t="n">
        <v>10.5</v>
      </c>
      <c r="G12" t="n">
        <v>8.5</v>
      </c>
      <c r="K12" t="n">
        <v>8</v>
      </c>
      <c r="L12" t="n">
        <v>11</v>
      </c>
      <c r="M12" t="n">
        <v>7</v>
      </c>
      <c r="O12" t="n">
        <v>1</v>
      </c>
      <c r="P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9</v>
      </c>
      <c r="AG12" t="inlineStr">
        <is>
          <t>retomado</t>
        </is>
      </c>
      <c r="AH12" t="inlineStr">
        <is>
          <t>alineado</t>
        </is>
      </c>
    </row>
    <row r="13">
      <c r="A13" t="inlineStr">
        <is>
          <t>Equilibrio y rapidez en procesos industriales</t>
        </is>
      </c>
      <c r="B13" t="inlineStr">
        <is>
          <t>alineado</t>
        </is>
      </c>
      <c r="C13" t="n">
        <v>9</v>
      </c>
      <c r="D13" t="n">
        <v>9</v>
      </c>
      <c r="F13" t="n">
        <v>10.5</v>
      </c>
      <c r="G13" t="n">
        <v>8.5</v>
      </c>
      <c r="L13" t="n">
        <v>11</v>
      </c>
      <c r="O13" t="n">
        <v>1</v>
      </c>
      <c r="P13" t="n">
        <v>1</v>
      </c>
      <c r="U13" t="n">
        <v>1</v>
      </c>
      <c r="Y13" t="n">
        <v>1</v>
      </c>
      <c r="Z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10</v>
      </c>
      <c r="AG13" t="inlineStr">
        <is>
          <t>solo_especializacion</t>
        </is>
      </c>
      <c r="AH13" t="inlineStr">
        <is>
          <t>solo_especializacion</t>
        </is>
      </c>
    </row>
    <row r="14">
      <c r="A14" t="inlineStr">
        <is>
          <t>Fuerza de ácidos y bases: Ka y Kb</t>
        </is>
      </c>
      <c r="B14" t="inlineStr">
        <is>
          <t>alineado</t>
        </is>
      </c>
      <c r="C14" t="n">
        <v>9</v>
      </c>
      <c r="D14" t="n">
        <v>9</v>
      </c>
      <c r="F14" t="n">
        <v>8</v>
      </c>
      <c r="G14" t="n">
        <v>8.5</v>
      </c>
      <c r="I14" t="n">
        <v>9.5</v>
      </c>
      <c r="L14" t="n">
        <v>9.5</v>
      </c>
      <c r="M14" t="n">
        <v>7</v>
      </c>
      <c r="O14" t="n">
        <v>1</v>
      </c>
      <c r="P14" t="n">
        <v>1</v>
      </c>
      <c r="R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9</v>
      </c>
      <c r="AG14" t="inlineStr">
        <is>
          <t>alineado</t>
        </is>
      </c>
      <c r="AH14" t="inlineStr">
        <is>
          <t>alineado</t>
        </is>
      </c>
    </row>
    <row r="15">
      <c r="A15" t="inlineStr">
        <is>
          <t>Leyes ponderales y volumétricas</t>
        </is>
      </c>
      <c r="B15" t="inlineStr">
        <is>
          <t>alineado</t>
        </is>
      </c>
      <c r="C15" t="n">
        <v>10</v>
      </c>
      <c r="D15" t="n">
        <v>10</v>
      </c>
      <c r="I15" t="n">
        <v>7</v>
      </c>
      <c r="J15" t="n">
        <v>7</v>
      </c>
      <c r="M15" t="n">
        <v>9.5</v>
      </c>
      <c r="V15" t="n">
        <v>1</v>
      </c>
      <c r="AC15" t="n">
        <v>1</v>
      </c>
      <c r="AF15" t="n">
        <v>10</v>
      </c>
      <c r="AG15" t="inlineStr">
        <is>
          <t>alineado</t>
        </is>
      </c>
      <c r="AH15" t="inlineStr">
        <is>
          <t>alineado</t>
        </is>
      </c>
    </row>
    <row r="16">
      <c r="A16" t="inlineStr">
        <is>
          <t>Neutralización y reacciones de los ácidos</t>
        </is>
      </c>
      <c r="B16" t="inlineStr">
        <is>
          <t>alineado</t>
        </is>
      </c>
      <c r="C16" t="n">
        <v>9</v>
      </c>
      <c r="D16" t="n">
        <v>9</v>
      </c>
      <c r="F16" t="n">
        <v>8</v>
      </c>
      <c r="G16" t="n">
        <v>6</v>
      </c>
      <c r="I16" t="n">
        <v>8</v>
      </c>
      <c r="J16" t="n">
        <v>9</v>
      </c>
      <c r="K16" t="n">
        <v>9</v>
      </c>
      <c r="L16" t="n">
        <v>9.5</v>
      </c>
      <c r="M16" t="n">
        <v>7</v>
      </c>
      <c r="O16" t="n">
        <v>1</v>
      </c>
      <c r="P16" t="n">
        <v>1</v>
      </c>
      <c r="R16" t="n">
        <v>1</v>
      </c>
      <c r="S16" t="n">
        <v>1</v>
      </c>
      <c r="T16" t="n">
        <v>1</v>
      </c>
      <c r="U16" t="n">
        <v>1</v>
      </c>
      <c r="W16" t="n">
        <v>1</v>
      </c>
      <c r="Y16" t="n">
        <v>1</v>
      </c>
      <c r="Z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9</v>
      </c>
      <c r="AG16" t="inlineStr">
        <is>
          <t>alineado</t>
        </is>
      </c>
      <c r="AH16" t="inlineStr">
        <is>
          <t>alineado</t>
        </is>
      </c>
    </row>
    <row r="17">
      <c r="A17" t="inlineStr">
        <is>
          <t>Nomenclatura orgánica IUPAC</t>
        </is>
      </c>
      <c r="B17" t="inlineStr">
        <is>
          <t>alineado</t>
        </is>
      </c>
      <c r="C17" t="n">
        <v>7</v>
      </c>
      <c r="D17" t="n">
        <v>11</v>
      </c>
      <c r="F17" t="n">
        <v>10.5</v>
      </c>
      <c r="G17" t="n">
        <v>8.5</v>
      </c>
      <c r="L17" t="n">
        <v>9.5</v>
      </c>
      <c r="O17" t="n">
        <v>1</v>
      </c>
      <c r="P17" t="n">
        <v>1</v>
      </c>
      <c r="U17" t="n">
        <v>1</v>
      </c>
      <c r="W17" t="n">
        <v>1</v>
      </c>
      <c r="X17" t="n">
        <v>1</v>
      </c>
      <c r="Y17" t="n">
        <v>1</v>
      </c>
      <c r="Z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11</v>
      </c>
      <c r="AG17" t="inlineStr">
        <is>
          <t>retomado</t>
        </is>
      </c>
      <c r="AH17" t="inlineStr">
        <is>
          <t>alineado</t>
        </is>
      </c>
    </row>
    <row r="18">
      <c r="A18" t="inlineStr">
        <is>
          <t>Principio de Le Chatelier</t>
        </is>
      </c>
      <c r="B18" t="inlineStr">
        <is>
          <t>alineado</t>
        </is>
      </c>
      <c r="C18" t="n">
        <v>9</v>
      </c>
      <c r="D18" t="n">
        <v>9</v>
      </c>
      <c r="F18" t="n">
        <v>10.5</v>
      </c>
      <c r="G18" t="n">
        <v>8.5</v>
      </c>
      <c r="L18" t="n">
        <v>11</v>
      </c>
      <c r="M18" t="n">
        <v>7</v>
      </c>
      <c r="O18" t="n">
        <v>1</v>
      </c>
      <c r="P18" t="n">
        <v>1</v>
      </c>
      <c r="U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9</v>
      </c>
      <c r="AG18" t="inlineStr">
        <is>
          <t>alineado</t>
        </is>
      </c>
      <c r="AH18" t="inlineStr">
        <is>
          <t>alineado</t>
        </is>
      </c>
    </row>
    <row r="19">
      <c r="A19" t="inlineStr">
        <is>
          <t>Química de los carbohidratos</t>
        </is>
      </c>
      <c r="B19" t="inlineStr">
        <is>
          <t>alineado</t>
        </is>
      </c>
      <c r="C19" t="n">
        <v>6</v>
      </c>
      <c r="D19" t="n">
        <v>10</v>
      </c>
      <c r="F19" t="n">
        <v>10.5</v>
      </c>
      <c r="I19" t="n">
        <v>9.5</v>
      </c>
      <c r="L19" t="n">
        <v>9.5</v>
      </c>
      <c r="M19" t="n">
        <v>9.5</v>
      </c>
      <c r="O19" t="n">
        <v>1</v>
      </c>
      <c r="R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F19" t="n">
        <v>10</v>
      </c>
      <c r="AG19" t="inlineStr">
        <is>
          <t>retomado</t>
        </is>
      </c>
      <c r="AH19" t="inlineStr">
        <is>
          <t>alineado</t>
        </is>
      </c>
    </row>
    <row r="20">
      <c r="A20" t="inlineStr">
        <is>
          <t>Radiactividad y emisiones nucleares</t>
        </is>
      </c>
      <c r="B20" t="inlineStr">
        <is>
          <t>alineado</t>
        </is>
      </c>
      <c r="C20" t="n">
        <v>5</v>
      </c>
      <c r="D20" t="n">
        <v>10</v>
      </c>
      <c r="E20" t="n">
        <v>8</v>
      </c>
      <c r="G20" t="n">
        <v>8.5</v>
      </c>
      <c r="I20" t="n">
        <v>9.5</v>
      </c>
      <c r="R20" t="n">
        <v>1</v>
      </c>
      <c r="W20" t="n">
        <v>1</v>
      </c>
      <c r="AC20" t="n">
        <v>1</v>
      </c>
      <c r="AF20" t="n">
        <v>10</v>
      </c>
      <c r="AG20" t="inlineStr">
        <is>
          <t>retomado</t>
        </is>
      </c>
      <c r="AH20" t="inlineStr">
        <is>
          <t>alineado</t>
        </is>
      </c>
    </row>
    <row r="21">
      <c r="A21" t="inlineStr">
        <is>
          <t>Factores que afectan la rapidez de reacción</t>
        </is>
      </c>
      <c r="B21" t="inlineStr">
        <is>
          <t>alineado</t>
        </is>
      </c>
      <c r="C21" t="n">
        <v>6</v>
      </c>
      <c r="D21" t="n">
        <v>9</v>
      </c>
      <c r="E21" t="n">
        <v>9</v>
      </c>
      <c r="F21" t="n">
        <v>8</v>
      </c>
      <c r="G21" t="n">
        <v>8.5</v>
      </c>
      <c r="L21" t="n">
        <v>9.5</v>
      </c>
      <c r="M21" t="n">
        <v>7</v>
      </c>
      <c r="N21" t="n">
        <v>1</v>
      </c>
      <c r="O21" t="n">
        <v>1</v>
      </c>
      <c r="P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9</v>
      </c>
      <c r="AG21" t="inlineStr">
        <is>
          <t>retomado</t>
        </is>
      </c>
      <c r="AH21" t="inlineStr">
        <is>
          <t>alineado</t>
        </is>
      </c>
    </row>
    <row r="22">
      <c r="A22" t="inlineStr">
        <is>
          <t>Reacciones exotérmicas y endotérmicas</t>
        </is>
      </c>
      <c r="B22" t="inlineStr">
        <is>
          <t>alineado</t>
        </is>
      </c>
      <c r="C22" t="n">
        <v>10</v>
      </c>
      <c r="D22" t="n">
        <v>10</v>
      </c>
      <c r="E22" t="n">
        <v>7</v>
      </c>
      <c r="F22" t="n">
        <v>8</v>
      </c>
      <c r="G22" t="n">
        <v>6</v>
      </c>
      <c r="I22" t="n">
        <v>7</v>
      </c>
      <c r="J22" t="n">
        <v>7</v>
      </c>
      <c r="K22" t="n">
        <v>9</v>
      </c>
      <c r="L22" t="n">
        <v>9.5</v>
      </c>
      <c r="M22" t="n">
        <v>7</v>
      </c>
      <c r="O22" t="n">
        <v>1</v>
      </c>
      <c r="P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10</v>
      </c>
      <c r="AG22" t="inlineStr">
        <is>
          <t>alineado</t>
        </is>
      </c>
      <c r="AH22" t="inlineStr">
        <is>
          <t>alineado</t>
        </is>
      </c>
    </row>
    <row r="23">
      <c r="A23" t="inlineStr">
        <is>
          <t>Redes covalentes y alótropos del carbono</t>
        </is>
      </c>
      <c r="B23" t="inlineStr">
        <is>
          <t>alineado</t>
        </is>
      </c>
      <c r="C23" t="n">
        <v>10</v>
      </c>
      <c r="D23" t="n">
        <v>10</v>
      </c>
      <c r="F23" t="n">
        <v>8</v>
      </c>
      <c r="G23" t="n">
        <v>8.5</v>
      </c>
      <c r="L23" t="n">
        <v>9.5</v>
      </c>
      <c r="M23" t="n">
        <v>7</v>
      </c>
      <c r="O23" t="n">
        <v>1</v>
      </c>
      <c r="P23" t="n">
        <v>1</v>
      </c>
      <c r="U23" t="n">
        <v>1</v>
      </c>
      <c r="W23" t="n">
        <v>1</v>
      </c>
      <c r="Y23" t="n">
        <v>1</v>
      </c>
      <c r="Z23" t="n">
        <v>1</v>
      </c>
      <c r="AD23" t="n">
        <v>1</v>
      </c>
      <c r="AF23" t="n">
        <v>10</v>
      </c>
      <c r="AG23" t="inlineStr">
        <is>
          <t>alineado</t>
        </is>
      </c>
      <c r="AH23" t="inlineStr">
        <is>
          <t>alineado</t>
        </is>
      </c>
    </row>
    <row r="24">
      <c r="A24" t="inlineStr">
        <is>
          <t>Teoría cinética de los gases</t>
        </is>
      </c>
      <c r="B24" t="inlineStr">
        <is>
          <t>alineado</t>
        </is>
      </c>
      <c r="C24" t="n">
        <v>8</v>
      </c>
      <c r="D24" t="n">
        <v>9</v>
      </c>
      <c r="F24" t="n">
        <v>10.5</v>
      </c>
      <c r="G24" t="n">
        <v>6</v>
      </c>
      <c r="I24" t="n">
        <v>9.5</v>
      </c>
      <c r="J24" t="n">
        <v>7</v>
      </c>
      <c r="M24" t="n">
        <v>9.5</v>
      </c>
      <c r="O24" t="n">
        <v>1</v>
      </c>
      <c r="P24" t="n">
        <v>1</v>
      </c>
      <c r="R24" t="n">
        <v>1</v>
      </c>
      <c r="V24" t="n">
        <v>1</v>
      </c>
      <c r="W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10</v>
      </c>
      <c r="AG24" t="inlineStr">
        <is>
          <t>retomado</t>
        </is>
      </c>
      <c r="AH24" t="inlineStr">
        <is>
          <t>alineado</t>
        </is>
      </c>
    </row>
    <row r="25">
      <c r="A25" t="inlineStr">
        <is>
          <t>Teoría de colisiones</t>
        </is>
      </c>
      <c r="B25" t="inlineStr">
        <is>
          <t>alineado</t>
        </is>
      </c>
      <c r="C25" t="n">
        <v>9</v>
      </c>
      <c r="D25" t="n">
        <v>9</v>
      </c>
      <c r="E25" t="n">
        <v>9</v>
      </c>
      <c r="F25" t="n">
        <v>8</v>
      </c>
      <c r="G25" t="n">
        <v>8.5</v>
      </c>
      <c r="L25" t="n">
        <v>9.5</v>
      </c>
      <c r="M25" t="n">
        <v>7</v>
      </c>
      <c r="N25" t="n">
        <v>1</v>
      </c>
      <c r="O25" t="n">
        <v>1</v>
      </c>
      <c r="P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10</v>
      </c>
      <c r="AG25" t="inlineStr">
        <is>
          <t>alineado</t>
        </is>
      </c>
      <c r="AH25" t="inlineStr">
        <is>
          <t>alineado</t>
        </is>
      </c>
    </row>
    <row r="26">
      <c r="A26" t="inlineStr">
        <is>
          <t>Teorías ácido-base (Arrhenius, Brønsted-Lowry, Lewis)</t>
        </is>
      </c>
      <c r="B26" t="inlineStr">
        <is>
          <t>alineado</t>
        </is>
      </c>
      <c r="C26" t="n">
        <v>9</v>
      </c>
      <c r="D26" t="n">
        <v>9</v>
      </c>
      <c r="F26" t="n">
        <v>8</v>
      </c>
      <c r="G26" t="n">
        <v>8.5</v>
      </c>
      <c r="I26" t="n">
        <v>8</v>
      </c>
      <c r="J26" t="n">
        <v>9</v>
      </c>
      <c r="L26" t="n">
        <v>9.5</v>
      </c>
      <c r="M26" t="n">
        <v>7</v>
      </c>
      <c r="O26" t="n">
        <v>1</v>
      </c>
      <c r="P26" t="n">
        <v>1</v>
      </c>
      <c r="S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9</v>
      </c>
      <c r="AG26" t="inlineStr">
        <is>
          <t>alineado</t>
        </is>
      </c>
      <c r="AH26" t="inlineStr">
        <is>
          <t>alineado</t>
        </is>
      </c>
    </row>
    <row r="27">
      <c r="A27" t="inlineStr">
        <is>
          <t>Autoionización del agua, Kw y cálculo de pH</t>
        </is>
      </c>
      <c r="B27" t="inlineStr">
        <is>
          <t>incierto</t>
        </is>
      </c>
      <c r="C27" t="n">
        <v>9</v>
      </c>
      <c r="D27" t="n">
        <v>9</v>
      </c>
      <c r="G27" t="n">
        <v>8.5</v>
      </c>
      <c r="I27" t="n">
        <v>9.5</v>
      </c>
      <c r="L27" t="n">
        <v>11</v>
      </c>
      <c r="M27" t="n">
        <v>7</v>
      </c>
      <c r="P27" t="n">
        <v>1</v>
      </c>
      <c r="R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9</v>
      </c>
      <c r="AG27" t="inlineStr">
        <is>
          <t>sin_referente</t>
        </is>
      </c>
      <c r="AH27" t="inlineStr">
        <is>
          <t>alineado</t>
        </is>
      </c>
    </row>
    <row r="28">
      <c r="A28" t="inlineStr">
        <is>
          <t>Cambios físicos y químicos</t>
        </is>
      </c>
      <c r="B28" t="inlineStr">
        <is>
          <t>incierto</t>
        </is>
      </c>
      <c r="C28" t="n">
        <v>2</v>
      </c>
      <c r="D28" t="n">
        <v>10</v>
      </c>
      <c r="E28" t="n">
        <v>2</v>
      </c>
      <c r="F28" t="n">
        <v>8</v>
      </c>
      <c r="G28" t="n">
        <v>2</v>
      </c>
      <c r="I28" t="n">
        <v>9.5</v>
      </c>
      <c r="J28" t="n">
        <v>7</v>
      </c>
      <c r="K28" t="n">
        <v>8</v>
      </c>
      <c r="L28" t="n">
        <v>9.5</v>
      </c>
      <c r="M28" t="n">
        <v>7</v>
      </c>
      <c r="O28" t="n">
        <v>1</v>
      </c>
      <c r="P28" t="n">
        <v>1</v>
      </c>
      <c r="R28" t="n">
        <v>1</v>
      </c>
      <c r="S28" t="n">
        <v>1</v>
      </c>
      <c r="T28" t="n">
        <v>1</v>
      </c>
      <c r="U28" t="n">
        <v>1</v>
      </c>
      <c r="W28" t="n">
        <v>1</v>
      </c>
      <c r="Y28" t="n">
        <v>1</v>
      </c>
      <c r="Z28" t="n">
        <v>1</v>
      </c>
      <c r="AB28" t="n">
        <v>1</v>
      </c>
      <c r="AC28" t="n">
        <v>1</v>
      </c>
      <c r="AD28" t="n">
        <v>1</v>
      </c>
      <c r="AF28" t="n">
        <v>2</v>
      </c>
      <c r="AG28" t="inlineStr">
        <is>
          <t>retomado</t>
        </is>
      </c>
      <c r="AH28" t="inlineStr">
        <is>
          <t>no_retomado</t>
        </is>
      </c>
    </row>
    <row r="29">
      <c r="A29" t="inlineStr">
        <is>
          <t>Catalizadores</t>
        </is>
      </c>
      <c r="B29" t="inlineStr">
        <is>
          <t>incierto</t>
        </is>
      </c>
      <c r="C29" t="n">
        <v>6</v>
      </c>
      <c r="D29" t="n">
        <v>10</v>
      </c>
      <c r="F29" t="n">
        <v>10.5</v>
      </c>
      <c r="G29" t="n">
        <v>6</v>
      </c>
      <c r="L29" t="n">
        <v>11</v>
      </c>
      <c r="M29" t="n">
        <v>7</v>
      </c>
      <c r="O29" t="n">
        <v>1</v>
      </c>
      <c r="P29" t="n">
        <v>1</v>
      </c>
      <c r="U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10</v>
      </c>
      <c r="AG29" t="inlineStr">
        <is>
          <t>retomado</t>
        </is>
      </c>
      <c r="AH29" t="inlineStr">
        <is>
          <t>solo_especializacion</t>
        </is>
      </c>
    </row>
    <row r="30">
      <c r="A30" t="inlineStr">
        <is>
          <t>Celdas galvánicas</t>
        </is>
      </c>
      <c r="B30" t="inlineStr">
        <is>
          <t>incierto</t>
        </is>
      </c>
      <c r="C30" t="n">
        <v>4</v>
      </c>
      <c r="D30" t="n">
        <v>11</v>
      </c>
      <c r="F30" t="n">
        <v>10.5</v>
      </c>
      <c r="I30" t="n">
        <v>8</v>
      </c>
      <c r="M30" t="n">
        <v>7</v>
      </c>
      <c r="O30" t="n">
        <v>1</v>
      </c>
      <c r="R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11</v>
      </c>
      <c r="AG30" t="inlineStr">
        <is>
          <t>retomado</t>
        </is>
      </c>
      <c r="AH30" t="inlineStr">
        <is>
          <t>solo_especializacion</t>
        </is>
      </c>
    </row>
    <row r="31">
      <c r="A31" t="inlineStr">
        <is>
          <t>Composición porcentual y fórmulas empírica y molecular</t>
        </is>
      </c>
      <c r="B31" t="inlineStr">
        <is>
          <t>incierto</t>
        </is>
      </c>
      <c r="C31" t="n">
        <v>6</v>
      </c>
      <c r="D31" t="n">
        <v>10</v>
      </c>
      <c r="G31" t="n">
        <v>8.5</v>
      </c>
      <c r="L31" t="n">
        <v>11</v>
      </c>
      <c r="P31" t="n">
        <v>1</v>
      </c>
      <c r="U31" t="n">
        <v>1</v>
      </c>
      <c r="W31" t="n">
        <v>1</v>
      </c>
      <c r="Y31" t="n">
        <v>1</v>
      </c>
      <c r="Z31" t="n">
        <v>1</v>
      </c>
      <c r="AC31" t="n">
        <v>1</v>
      </c>
      <c r="AD31" t="n">
        <v>1</v>
      </c>
      <c r="AF31" t="n">
        <v>10</v>
      </c>
      <c r="AG31" t="inlineStr">
        <is>
          <t>retomado</t>
        </is>
      </c>
      <c r="AH31" t="inlineStr">
        <is>
          <t>solo_especializacion</t>
        </is>
      </c>
    </row>
    <row r="32">
      <c r="A32" t="inlineStr">
        <is>
          <t>Cromatografía</t>
        </is>
      </c>
      <c r="B32" t="inlineStr">
        <is>
          <t>incierto</t>
        </is>
      </c>
      <c r="C32" t="n">
        <v>10</v>
      </c>
      <c r="D32" t="n">
        <v>10</v>
      </c>
      <c r="G32" t="n">
        <v>6</v>
      </c>
      <c r="I32" t="n">
        <v>9.5</v>
      </c>
      <c r="L32" t="n">
        <v>9.5</v>
      </c>
      <c r="M32" t="n">
        <v>7</v>
      </c>
      <c r="P32" t="n">
        <v>1</v>
      </c>
      <c r="R32" t="n">
        <v>1</v>
      </c>
      <c r="U32" t="n">
        <v>1</v>
      </c>
      <c r="V32" t="n">
        <v>1</v>
      </c>
      <c r="W32" t="n">
        <v>1</v>
      </c>
      <c r="Y32" t="n">
        <v>1</v>
      </c>
      <c r="Z32" t="n">
        <v>1</v>
      </c>
      <c r="AD32" t="n">
        <v>1</v>
      </c>
      <c r="AF32" t="n">
        <v>10</v>
      </c>
      <c r="AG32" t="inlineStr">
        <is>
          <t>sin_referente</t>
        </is>
      </c>
      <c r="AH32" t="inlineStr">
        <is>
          <t>alineado</t>
        </is>
      </c>
    </row>
    <row r="33">
      <c r="A33" t="inlineStr">
        <is>
          <t>Diagramas de fases</t>
        </is>
      </c>
      <c r="B33" t="inlineStr">
        <is>
          <t>incierto</t>
        </is>
      </c>
      <c r="C33" t="n">
        <v>6</v>
      </c>
      <c r="D33" t="n">
        <v>10</v>
      </c>
      <c r="M33" t="n">
        <v>9.5</v>
      </c>
      <c r="V33" t="n">
        <v>1</v>
      </c>
      <c r="AA33" t="n">
        <v>1</v>
      </c>
      <c r="AF33" t="n">
        <v>10</v>
      </c>
      <c r="AG33" t="inlineStr">
        <is>
          <t>retomado</t>
        </is>
      </c>
      <c r="AH33" t="inlineStr">
        <is>
          <t>sin_referente</t>
        </is>
      </c>
    </row>
    <row r="34">
      <c r="A34" t="inlineStr">
        <is>
          <t>Mezclas de gases, difusión y gases reales</t>
        </is>
      </c>
      <c r="B34" t="inlineStr">
        <is>
          <t>incierto</t>
        </is>
      </c>
      <c r="C34" t="n">
        <v>8</v>
      </c>
      <c r="D34" t="n">
        <v>10</v>
      </c>
      <c r="J34" t="n">
        <v>7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10</v>
      </c>
      <c r="AG34" t="inlineStr">
        <is>
          <t>retomado</t>
        </is>
      </c>
      <c r="AH34" t="inlineStr">
        <is>
          <t>solo_especializacion</t>
        </is>
      </c>
    </row>
    <row r="35">
      <c r="A35" t="inlineStr">
        <is>
          <t>Energía de enlace</t>
        </is>
      </c>
      <c r="B35" t="inlineStr">
        <is>
          <t>incierto</t>
        </is>
      </c>
      <c r="C35" t="n">
        <v>10</v>
      </c>
      <c r="D35" t="n">
        <v>10</v>
      </c>
      <c r="F35" t="n">
        <v>10.5</v>
      </c>
      <c r="G35" t="n">
        <v>8.5</v>
      </c>
      <c r="L35" t="n">
        <v>9.5</v>
      </c>
      <c r="O35" t="n">
        <v>1</v>
      </c>
      <c r="P35" t="n">
        <v>1</v>
      </c>
      <c r="U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C35" t="n">
        <v>1</v>
      </c>
      <c r="AD35" t="n">
        <v>1</v>
      </c>
      <c r="AE35" t="n">
        <v>1</v>
      </c>
      <c r="AF35" t="n">
        <v>10</v>
      </c>
      <c r="AG35" t="inlineStr">
        <is>
          <t>sin_referente</t>
        </is>
      </c>
      <c r="AH35" t="inlineStr">
        <is>
          <t>alineado</t>
        </is>
      </c>
    </row>
    <row r="36">
      <c r="A36" t="inlineStr">
        <is>
          <t>Espectrometría de masas</t>
        </is>
      </c>
      <c r="B36" t="inlineStr">
        <is>
          <t>incierto</t>
        </is>
      </c>
      <c r="C36" t="n">
        <v>11</v>
      </c>
      <c r="D36" t="n">
        <v>11</v>
      </c>
      <c r="W36" t="n">
        <v>1</v>
      </c>
      <c r="Y36" t="n">
        <v>1</v>
      </c>
      <c r="Z36" t="n">
        <v>1</v>
      </c>
      <c r="AG36" t="inlineStr">
        <is>
          <t>solo_especializacion</t>
        </is>
      </c>
      <c r="AH36" t="inlineStr">
        <is>
          <t>no_aplica</t>
        </is>
      </c>
    </row>
    <row r="37">
      <c r="A37" t="inlineStr">
        <is>
          <t>Técnicas para determinar estructuras orgánicas</t>
        </is>
      </c>
      <c r="B37" t="inlineStr">
        <is>
          <t>incierto</t>
        </is>
      </c>
      <c r="C37" t="n">
        <v>11</v>
      </c>
      <c r="D37" t="n">
        <v>11</v>
      </c>
      <c r="W37" t="n">
        <v>1</v>
      </c>
      <c r="Y37" t="n">
        <v>1</v>
      </c>
      <c r="Z37" t="n">
        <v>1</v>
      </c>
      <c r="AC37" t="n">
        <v>1</v>
      </c>
      <c r="AG37" t="inlineStr">
        <is>
          <t>solo_especializacion</t>
        </is>
      </c>
      <c r="AH37" t="inlineStr">
        <is>
          <t>no_aplica</t>
        </is>
      </c>
    </row>
    <row r="38">
      <c r="A38" t="inlineStr">
        <is>
          <t>Esterificación e hidrólisis</t>
        </is>
      </c>
      <c r="B38" t="inlineStr">
        <is>
          <t>incierto</t>
        </is>
      </c>
      <c r="C38" t="n">
        <v>11</v>
      </c>
      <c r="D38" t="n">
        <v>11</v>
      </c>
      <c r="F38" t="n">
        <v>10.5</v>
      </c>
      <c r="L38" t="n">
        <v>11</v>
      </c>
      <c r="M38" t="n">
        <v>7</v>
      </c>
      <c r="O38" t="n">
        <v>1</v>
      </c>
      <c r="U38" t="n">
        <v>1</v>
      </c>
      <c r="W38" t="n">
        <v>1</v>
      </c>
      <c r="Y38" t="n">
        <v>1</v>
      </c>
      <c r="Z38" t="n">
        <v>1</v>
      </c>
      <c r="AC38" t="n">
        <v>1</v>
      </c>
      <c r="AD38" t="n">
        <v>1</v>
      </c>
      <c r="AF38" t="n">
        <v>11</v>
      </c>
      <c r="AG38" t="inlineStr">
        <is>
          <t>sin_referente</t>
        </is>
      </c>
      <c r="AH38" t="inlineStr">
        <is>
          <t>alineado</t>
        </is>
      </c>
    </row>
    <row r="39">
      <c r="A39" t="inlineStr">
        <is>
          <t>Fundamentos de la reactividad orgánica</t>
        </is>
      </c>
      <c r="B39" t="inlineStr">
        <is>
          <t>incierto</t>
        </is>
      </c>
      <c r="C39" t="n">
        <v>5</v>
      </c>
      <c r="D39" t="n">
        <v>10</v>
      </c>
      <c r="L39" t="n">
        <v>11</v>
      </c>
      <c r="U39" t="n">
        <v>1</v>
      </c>
      <c r="X39" t="n">
        <v>1</v>
      </c>
      <c r="Y39" t="n">
        <v>1</v>
      </c>
      <c r="Z39" t="n">
        <v>1</v>
      </c>
      <c r="AD39" t="n">
        <v>1</v>
      </c>
      <c r="AF39" t="n">
        <v>11</v>
      </c>
      <c r="AG39" t="inlineStr">
        <is>
          <t>retomado</t>
        </is>
      </c>
      <c r="AH39" t="inlineStr">
        <is>
          <t>solo_especializacion</t>
        </is>
      </c>
    </row>
    <row r="40">
      <c r="A40" t="inlineStr">
        <is>
          <t>Grupos funcionales</t>
        </is>
      </c>
      <c r="B40" t="inlineStr">
        <is>
          <t>incierto</t>
        </is>
      </c>
      <c r="C40" t="n">
        <v>9</v>
      </c>
      <c r="D40" t="n">
        <v>9</v>
      </c>
      <c r="F40" t="n">
        <v>8</v>
      </c>
      <c r="G40" t="n">
        <v>8.5</v>
      </c>
      <c r="L40" t="n">
        <v>9.5</v>
      </c>
      <c r="M40" t="n">
        <v>7</v>
      </c>
      <c r="O40" t="n">
        <v>1</v>
      </c>
      <c r="P40" t="n">
        <v>1</v>
      </c>
      <c r="U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11</v>
      </c>
      <c r="AG40" t="inlineStr">
        <is>
          <t>sin_referente</t>
        </is>
      </c>
      <c r="AH40" t="inlineStr">
        <is>
          <t>alineado</t>
        </is>
      </c>
    </row>
    <row r="41">
      <c r="A41" t="inlineStr">
        <is>
          <t>Hidrocarburos: alcanos, alquenos y alquinos</t>
        </is>
      </c>
      <c r="B41" t="inlineStr">
        <is>
          <t>incierto</t>
        </is>
      </c>
      <c r="C41" t="n">
        <v>11</v>
      </c>
      <c r="D41" t="n">
        <v>11</v>
      </c>
      <c r="F41" t="n">
        <v>8</v>
      </c>
      <c r="G41" t="n">
        <v>8.5</v>
      </c>
      <c r="L41" t="n">
        <v>9.5</v>
      </c>
      <c r="M41" t="n">
        <v>7</v>
      </c>
      <c r="O41" t="n">
        <v>1</v>
      </c>
      <c r="P41" t="n">
        <v>1</v>
      </c>
      <c r="U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C41" t="n">
        <v>1</v>
      </c>
      <c r="AD41" t="n">
        <v>1</v>
      </c>
      <c r="AE41" t="n">
        <v>1</v>
      </c>
      <c r="AF41" t="n">
        <v>11</v>
      </c>
      <c r="AG41" t="inlineStr">
        <is>
          <t>sin_referente</t>
        </is>
      </c>
      <c r="AH41" t="inlineStr">
        <is>
          <t>alineado</t>
        </is>
      </c>
    </row>
    <row r="42">
      <c r="A42" t="inlineStr">
        <is>
          <t>Isomería estructural</t>
        </is>
      </c>
      <c r="B42" t="inlineStr">
        <is>
          <t>incierto</t>
        </is>
      </c>
      <c r="C42" t="n">
        <v>10</v>
      </c>
      <c r="D42" t="n">
        <v>10</v>
      </c>
      <c r="F42" t="n">
        <v>8</v>
      </c>
      <c r="L42" t="n">
        <v>11</v>
      </c>
      <c r="M42" t="n">
        <v>7</v>
      </c>
      <c r="O42" t="n">
        <v>1</v>
      </c>
      <c r="U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C42" t="n">
        <v>1</v>
      </c>
      <c r="AD42" t="n">
        <v>1</v>
      </c>
      <c r="AE42" t="n">
        <v>1</v>
      </c>
      <c r="AF42" t="n">
        <v>10</v>
      </c>
      <c r="AG42" t="inlineStr">
        <is>
          <t>sin_referente</t>
        </is>
      </c>
      <c r="AH42" t="inlineStr">
        <is>
          <t>alineado</t>
        </is>
      </c>
    </row>
    <row r="43">
      <c r="A43" t="inlineStr">
        <is>
          <t>Oxidación y corrosión de los metales</t>
        </is>
      </c>
      <c r="B43" t="inlineStr">
        <is>
          <t>incierto</t>
        </is>
      </c>
      <c r="C43" t="n">
        <v>7</v>
      </c>
      <c r="D43" t="n">
        <v>11</v>
      </c>
      <c r="F43" t="n">
        <v>10.5</v>
      </c>
      <c r="I43" t="n">
        <v>9.5</v>
      </c>
      <c r="J43" t="n">
        <v>9</v>
      </c>
      <c r="K43" t="n">
        <v>9</v>
      </c>
      <c r="L43" t="n">
        <v>9.5</v>
      </c>
      <c r="M43" t="n">
        <v>7</v>
      </c>
      <c r="O43" t="n">
        <v>1</v>
      </c>
      <c r="R43" t="n">
        <v>1</v>
      </c>
      <c r="S43" t="n">
        <v>1</v>
      </c>
      <c r="T43" t="n">
        <v>1</v>
      </c>
      <c r="U43" t="n">
        <v>1</v>
      </c>
      <c r="W43" t="n">
        <v>1</v>
      </c>
      <c r="Y43" t="n">
        <v>1</v>
      </c>
      <c r="Z43" t="n">
        <v>1</v>
      </c>
      <c r="AC43" t="n">
        <v>1</v>
      </c>
      <c r="AD43" t="n">
        <v>1</v>
      </c>
      <c r="AF43" t="n">
        <v>11</v>
      </c>
      <c r="AG43" t="inlineStr">
        <is>
          <t>retomado</t>
        </is>
      </c>
      <c r="AH43" t="inlineStr">
        <is>
          <t>tardio</t>
        </is>
      </c>
    </row>
    <row r="44">
      <c r="A44" t="inlineStr">
        <is>
          <t>Oxidación y reducción</t>
        </is>
      </c>
      <c r="B44" t="inlineStr">
        <is>
          <t>incierto</t>
        </is>
      </c>
      <c r="C44" t="n">
        <v>10</v>
      </c>
      <c r="D44" t="n">
        <v>10</v>
      </c>
      <c r="F44" t="n">
        <v>8</v>
      </c>
      <c r="G44" t="n">
        <v>6</v>
      </c>
      <c r="I44" t="n">
        <v>7</v>
      </c>
      <c r="J44" t="n">
        <v>9</v>
      </c>
      <c r="L44" t="n">
        <v>9.5</v>
      </c>
      <c r="M44" t="n">
        <v>7</v>
      </c>
      <c r="O44" t="n">
        <v>1</v>
      </c>
      <c r="P44" t="n">
        <v>1</v>
      </c>
      <c r="R44" t="n">
        <v>1</v>
      </c>
      <c r="S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11</v>
      </c>
      <c r="AG44" t="inlineStr">
        <is>
          <t>alineado</t>
        </is>
      </c>
      <c r="AH44" t="inlineStr">
        <is>
          <t>tardio</t>
        </is>
      </c>
    </row>
    <row r="45">
      <c r="A45" t="inlineStr">
        <is>
          <t>Polímeros y ambiente</t>
        </is>
      </c>
      <c r="B45" t="inlineStr">
        <is>
          <t>incierto</t>
        </is>
      </c>
      <c r="C45" t="n">
        <v>11</v>
      </c>
      <c r="D45" t="n">
        <v>11</v>
      </c>
      <c r="F45" t="n">
        <v>8</v>
      </c>
      <c r="L45" t="n">
        <v>9.5</v>
      </c>
      <c r="M45" t="n">
        <v>7</v>
      </c>
      <c r="O45" t="n">
        <v>1</v>
      </c>
      <c r="U45" t="n">
        <v>1</v>
      </c>
      <c r="W45" t="n">
        <v>1</v>
      </c>
      <c r="Z45" t="n">
        <v>1</v>
      </c>
      <c r="AC45" t="n">
        <v>1</v>
      </c>
      <c r="AD45" t="n">
        <v>1</v>
      </c>
      <c r="AF45" t="n">
        <v>11</v>
      </c>
      <c r="AG45" t="inlineStr">
        <is>
          <t>sin_referente</t>
        </is>
      </c>
      <c r="AH45" t="inlineStr">
        <is>
          <t>alineado</t>
        </is>
      </c>
    </row>
    <row r="46">
      <c r="A46" t="inlineStr">
        <is>
          <t>Química de los lípidos</t>
        </is>
      </c>
      <c r="B46" t="inlineStr">
        <is>
          <t>incierto</t>
        </is>
      </c>
      <c r="C46" t="n">
        <v>6</v>
      </c>
      <c r="D46" t="n">
        <v>10</v>
      </c>
      <c r="F46" t="n">
        <v>10.5</v>
      </c>
      <c r="I46" t="n">
        <v>9.5</v>
      </c>
      <c r="L46" t="n">
        <v>9.5</v>
      </c>
      <c r="O46" t="n">
        <v>1</v>
      </c>
      <c r="R46" t="n">
        <v>1</v>
      </c>
      <c r="U46" t="n">
        <v>1</v>
      </c>
      <c r="Z46" t="n">
        <v>1</v>
      </c>
      <c r="AA46" t="n">
        <v>1</v>
      </c>
      <c r="AD46" t="n">
        <v>1</v>
      </c>
      <c r="AF46" t="n">
        <v>10</v>
      </c>
      <c r="AG46" t="inlineStr">
        <is>
          <t>retomado</t>
        </is>
      </c>
      <c r="AH46" t="inlineStr">
        <is>
          <t>solo_especializacion</t>
        </is>
      </c>
    </row>
    <row r="47">
      <c r="A47" t="inlineStr">
        <is>
          <t>Química verde y economía atómica</t>
        </is>
      </c>
      <c r="B47" t="inlineStr">
        <is>
          <t>incierto</t>
        </is>
      </c>
      <c r="C47" t="n">
        <v>11</v>
      </c>
      <c r="D47" t="n">
        <v>11</v>
      </c>
      <c r="G47" t="n">
        <v>8.5</v>
      </c>
      <c r="K47" t="n">
        <v>8</v>
      </c>
      <c r="L47" t="n">
        <v>9.5</v>
      </c>
      <c r="M47" t="n">
        <v>9.5</v>
      </c>
      <c r="P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B47" t="n">
        <v>1</v>
      </c>
      <c r="AC47" t="n">
        <v>1</v>
      </c>
      <c r="AE47" t="n">
        <v>1</v>
      </c>
      <c r="AF47" t="n">
        <v>11</v>
      </c>
      <c r="AG47" t="inlineStr">
        <is>
          <t>sin_referente</t>
        </is>
      </c>
      <c r="AH47" t="inlineStr">
        <is>
          <t>alineado</t>
        </is>
      </c>
    </row>
    <row r="48">
      <c r="A48" t="inlineStr">
        <is>
          <t>Reacciones de precipitación e identificación de iones</t>
        </is>
      </c>
      <c r="B48" t="inlineStr">
        <is>
          <t>incierto</t>
        </is>
      </c>
      <c r="C48" t="n">
        <v>9</v>
      </c>
      <c r="D48" t="n">
        <v>9</v>
      </c>
      <c r="F48" t="n">
        <v>10.5</v>
      </c>
      <c r="G48" t="n">
        <v>8.5</v>
      </c>
      <c r="I48" t="n">
        <v>9.5</v>
      </c>
      <c r="L48" t="n">
        <v>9.5</v>
      </c>
      <c r="M48" t="n">
        <v>7</v>
      </c>
      <c r="O48" t="n">
        <v>1</v>
      </c>
      <c r="R48" t="n">
        <v>1</v>
      </c>
      <c r="U48" t="n">
        <v>1</v>
      </c>
      <c r="W48" t="n">
        <v>1</v>
      </c>
      <c r="Y48" t="n">
        <v>1</v>
      </c>
      <c r="Z48" t="n">
        <v>1</v>
      </c>
      <c r="AC48" t="n">
        <v>1</v>
      </c>
      <c r="AD48" t="n">
        <v>1</v>
      </c>
      <c r="AE48" t="n">
        <v>1</v>
      </c>
      <c r="AF48" t="n">
        <v>10</v>
      </c>
      <c r="AG48" t="inlineStr">
        <is>
          <t>sin_referente</t>
        </is>
      </c>
      <c r="AH48" t="inlineStr">
        <is>
          <t>alineado</t>
        </is>
      </c>
    </row>
    <row r="49">
      <c r="A49" t="inlineStr">
        <is>
          <t>Rendimiento de una reacción</t>
        </is>
      </c>
      <c r="B49" t="inlineStr">
        <is>
          <t>incierto</t>
        </is>
      </c>
      <c r="C49" t="n">
        <v>8</v>
      </c>
      <c r="D49" t="n">
        <v>10</v>
      </c>
      <c r="F49" t="n">
        <v>10.5</v>
      </c>
      <c r="O49" t="n">
        <v>1</v>
      </c>
      <c r="W49" t="n">
        <v>1</v>
      </c>
      <c r="X49" t="n">
        <v>1</v>
      </c>
      <c r="Y49" t="n">
        <v>1</v>
      </c>
      <c r="Z49" t="n">
        <v>1</v>
      </c>
      <c r="AC49" t="n">
        <v>1</v>
      </c>
      <c r="AD49" t="n">
        <v>1</v>
      </c>
      <c r="AE49" t="n">
        <v>1</v>
      </c>
      <c r="AF49" t="n">
        <v>10</v>
      </c>
      <c r="AG49" t="inlineStr">
        <is>
          <t>retomado</t>
        </is>
      </c>
      <c r="AH49" t="inlineStr">
        <is>
          <t>solo_especializacion</t>
        </is>
      </c>
    </row>
    <row r="50">
      <c r="A50" t="inlineStr">
        <is>
          <t>Semivida, series de desintegración y residuos radiactivos</t>
        </is>
      </c>
      <c r="B50" t="inlineStr">
        <is>
          <t>incierto</t>
        </is>
      </c>
      <c r="C50" t="n">
        <v>10</v>
      </c>
      <c r="D50" t="n">
        <v>10</v>
      </c>
      <c r="F50" t="n">
        <v>8</v>
      </c>
      <c r="G50" t="n">
        <v>8.5</v>
      </c>
      <c r="I50" t="n">
        <v>9.5</v>
      </c>
      <c r="L50" t="n">
        <v>9.5</v>
      </c>
      <c r="M50" t="n">
        <v>9.5</v>
      </c>
      <c r="O50" t="n">
        <v>1</v>
      </c>
      <c r="P50" t="n">
        <v>1</v>
      </c>
      <c r="R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C50" t="n">
        <v>1</v>
      </c>
      <c r="AD50" t="n">
        <v>1</v>
      </c>
      <c r="AE50" t="n">
        <v>1</v>
      </c>
      <c r="AF50" t="n">
        <v>11</v>
      </c>
      <c r="AG50" t="inlineStr">
        <is>
          <t>alineado</t>
        </is>
      </c>
      <c r="AH50" t="inlineStr">
        <is>
          <t>tardio</t>
        </is>
      </c>
    </row>
    <row r="51">
      <c r="A51" t="inlineStr">
        <is>
          <t>Disolución y rapidez de disolución</t>
        </is>
      </c>
      <c r="B51" t="inlineStr">
        <is>
          <t>previo</t>
        </is>
      </c>
      <c r="C51" t="n">
        <v>3</v>
      </c>
      <c r="D51" t="n">
        <v>10</v>
      </c>
      <c r="G51" t="n">
        <v>6</v>
      </c>
      <c r="AA51" t="n">
        <v>1</v>
      </c>
      <c r="AC51" t="n">
        <v>1</v>
      </c>
      <c r="AF51" t="n">
        <v>3</v>
      </c>
      <c r="AG51" t="inlineStr">
        <is>
          <t>retomado</t>
        </is>
      </c>
      <c r="AH51" t="inlineStr">
        <is>
          <t>previo</t>
        </is>
      </c>
    </row>
    <row r="52">
      <c r="A52" t="inlineStr">
        <is>
          <t>Minerales: composición y estructura cristalina</t>
        </is>
      </c>
      <c r="B52" t="inlineStr">
        <is>
          <t>previo</t>
        </is>
      </c>
      <c r="C52" t="n">
        <v>8</v>
      </c>
      <c r="F52" t="n">
        <v>8</v>
      </c>
      <c r="J52" t="n">
        <v>9</v>
      </c>
      <c r="L52" t="n">
        <v>9.5</v>
      </c>
      <c r="O52" t="n">
        <v>1</v>
      </c>
      <c r="S52" t="n">
        <v>1</v>
      </c>
      <c r="U52" t="n">
        <v>1</v>
      </c>
      <c r="Z52" t="n">
        <v>1</v>
      </c>
      <c r="AA52" t="n">
        <v>1</v>
      </c>
      <c r="AD52" t="n">
        <v>1</v>
      </c>
      <c r="AF52" t="n">
        <v>8</v>
      </c>
      <c r="AG52" t="inlineStr">
        <is>
          <t>previo</t>
        </is>
      </c>
      <c r="AH52" t="inlineStr">
        <is>
          <t>previo</t>
        </is>
      </c>
    </row>
    <row r="53">
      <c r="A53" t="inlineStr">
        <is>
          <t>Compuestos inorgánicos: funciones y nomenclatura</t>
        </is>
      </c>
      <c r="B53" t="inlineStr">
        <is>
          <t>previo</t>
        </is>
      </c>
      <c r="C53" t="n">
        <v>5</v>
      </c>
      <c r="D53" t="n">
        <v>10</v>
      </c>
      <c r="F53" t="n">
        <v>8</v>
      </c>
      <c r="G53" t="n">
        <v>6</v>
      </c>
      <c r="I53" t="n">
        <v>9.5</v>
      </c>
      <c r="K53" t="n">
        <v>9</v>
      </c>
      <c r="M53" t="n">
        <v>7</v>
      </c>
      <c r="O53" t="n">
        <v>1</v>
      </c>
      <c r="P53" t="n">
        <v>1</v>
      </c>
      <c r="R53" t="n">
        <v>1</v>
      </c>
      <c r="T53" t="n">
        <v>1</v>
      </c>
      <c r="X53" t="n">
        <v>1</v>
      </c>
      <c r="Y53" t="n">
        <v>1</v>
      </c>
      <c r="Z53" t="n">
        <v>1</v>
      </c>
      <c r="AC53" t="n">
        <v>1</v>
      </c>
      <c r="AD53" t="n">
        <v>1</v>
      </c>
      <c r="AE53" t="n">
        <v>1</v>
      </c>
      <c r="AF53" t="n">
        <v>7</v>
      </c>
      <c r="AG53" t="inlineStr">
        <is>
          <t>retomado</t>
        </is>
      </c>
      <c r="AH53" t="inlineStr">
        <is>
          <t>previo</t>
        </is>
      </c>
    </row>
    <row r="54">
      <c r="A54" t="inlineStr">
        <is>
          <t>Ácidos y bases: propiedades</t>
        </is>
      </c>
      <c r="B54" t="inlineStr">
        <is>
          <t>retomado</t>
        </is>
      </c>
      <c r="C54" t="n">
        <v>7</v>
      </c>
      <c r="D54" t="n">
        <v>9</v>
      </c>
      <c r="F54" t="n">
        <v>8</v>
      </c>
      <c r="G54" t="n">
        <v>6</v>
      </c>
      <c r="I54" t="n">
        <v>5</v>
      </c>
      <c r="J54" t="n">
        <v>9</v>
      </c>
      <c r="K54" t="n">
        <v>9</v>
      </c>
      <c r="L54" t="n">
        <v>9.5</v>
      </c>
      <c r="M54" t="n">
        <v>7</v>
      </c>
      <c r="O54" t="n">
        <v>1</v>
      </c>
      <c r="P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Y54" t="n">
        <v>1</v>
      </c>
      <c r="Z54" t="n">
        <v>1</v>
      </c>
      <c r="AC54" t="n">
        <v>1</v>
      </c>
      <c r="AD54" t="n">
        <v>1</v>
      </c>
      <c r="AF54" t="n">
        <v>7</v>
      </c>
      <c r="AG54" t="inlineStr">
        <is>
          <t>retomado</t>
        </is>
      </c>
      <c r="AH54" t="inlineStr">
        <is>
          <t>retomado</t>
        </is>
      </c>
    </row>
    <row r="55">
      <c r="A55" t="inlineStr">
        <is>
          <t>Átomo y partículas subatómicas</t>
        </is>
      </c>
      <c r="B55" t="inlineStr">
        <is>
          <t>retomado</t>
        </is>
      </c>
      <c r="C55" t="n">
        <v>5</v>
      </c>
      <c r="D55" t="n">
        <v>9</v>
      </c>
      <c r="E55" t="n">
        <v>8</v>
      </c>
      <c r="F55" t="n">
        <v>8</v>
      </c>
      <c r="G55" t="n">
        <v>6</v>
      </c>
      <c r="I55" t="n">
        <v>8</v>
      </c>
      <c r="J55" t="n">
        <v>7</v>
      </c>
      <c r="K55" t="n">
        <v>8</v>
      </c>
      <c r="L55" t="n">
        <v>9.5</v>
      </c>
      <c r="M55" t="n">
        <v>7</v>
      </c>
      <c r="N55" t="n">
        <v>1</v>
      </c>
      <c r="O55" t="n">
        <v>1</v>
      </c>
      <c r="P55" t="n">
        <v>1</v>
      </c>
      <c r="R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C55" t="n">
        <v>1</v>
      </c>
      <c r="AD55" t="n">
        <v>1</v>
      </c>
      <c r="AE55" t="n">
        <v>1</v>
      </c>
      <c r="AF55" t="n">
        <v>5</v>
      </c>
      <c r="AG55" t="inlineStr">
        <is>
          <t>retomado</t>
        </is>
      </c>
      <c r="AH55" t="inlineStr">
        <is>
          <t>retomado</t>
        </is>
      </c>
    </row>
    <row r="56">
      <c r="A56" t="inlineStr">
        <is>
          <t>Cambios de estado</t>
        </is>
      </c>
      <c r="B56" t="inlineStr">
        <is>
          <t>retomado</t>
        </is>
      </c>
      <c r="C56" t="n">
        <v>2</v>
      </c>
      <c r="D56" t="n">
        <v>9</v>
      </c>
      <c r="E56" t="n">
        <v>2</v>
      </c>
      <c r="F56" t="n">
        <v>8</v>
      </c>
      <c r="G56" t="n">
        <v>2</v>
      </c>
      <c r="I56" t="n">
        <v>3</v>
      </c>
      <c r="J56" t="n">
        <v>7</v>
      </c>
      <c r="L56" t="n">
        <v>9.5</v>
      </c>
      <c r="M56" t="n">
        <v>7</v>
      </c>
      <c r="O56" t="n">
        <v>1</v>
      </c>
      <c r="P56" t="n">
        <v>1</v>
      </c>
      <c r="R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F56" t="n">
        <v>2</v>
      </c>
      <c r="AG56" t="inlineStr">
        <is>
          <t>retomado</t>
        </is>
      </c>
      <c r="AH56" t="inlineStr">
        <is>
          <t>retomado</t>
        </is>
      </c>
    </row>
    <row r="57">
      <c r="A57" t="inlineStr">
        <is>
          <t>Combustibles fósiles y biocombustibles</t>
        </is>
      </c>
      <c r="B57" t="inlineStr">
        <is>
          <t>retomado</t>
        </is>
      </c>
      <c r="C57" t="n">
        <v>7</v>
      </c>
      <c r="D57" t="n">
        <v>9</v>
      </c>
      <c r="F57" t="n">
        <v>8</v>
      </c>
      <c r="G57" t="n">
        <v>6</v>
      </c>
      <c r="K57" t="n">
        <v>9</v>
      </c>
      <c r="L57" t="n">
        <v>9.5</v>
      </c>
      <c r="M57" t="n">
        <v>7</v>
      </c>
      <c r="O57" t="n">
        <v>1</v>
      </c>
      <c r="P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7</v>
      </c>
      <c r="AG57" t="inlineStr">
        <is>
          <t>retomado</t>
        </is>
      </c>
      <c r="AH57" t="inlineStr">
        <is>
          <t>retomado</t>
        </is>
      </c>
    </row>
    <row r="58">
      <c r="A58" t="inlineStr">
        <is>
          <t>Combustión</t>
        </is>
      </c>
      <c r="B58" t="inlineStr">
        <is>
          <t>retomado</t>
        </is>
      </c>
      <c r="C58" t="n">
        <v>7</v>
      </c>
      <c r="D58" t="n">
        <v>9</v>
      </c>
      <c r="E58" t="n">
        <v>8</v>
      </c>
      <c r="F58" t="n">
        <v>8</v>
      </c>
      <c r="G58" t="n">
        <v>6</v>
      </c>
      <c r="I58" t="n">
        <v>5</v>
      </c>
      <c r="J58" t="n">
        <v>9</v>
      </c>
      <c r="L58" t="n">
        <v>9.5</v>
      </c>
      <c r="M58" t="n">
        <v>7</v>
      </c>
      <c r="O58" t="n">
        <v>1</v>
      </c>
      <c r="P58" t="n">
        <v>1</v>
      </c>
      <c r="S58" t="n">
        <v>1</v>
      </c>
      <c r="U58" t="n">
        <v>1</v>
      </c>
      <c r="V58" t="n">
        <v>1</v>
      </c>
      <c r="W58" t="n">
        <v>1</v>
      </c>
      <c r="Y58" t="n">
        <v>1</v>
      </c>
      <c r="Z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7</v>
      </c>
      <c r="AG58" t="inlineStr">
        <is>
          <t>retomado</t>
        </is>
      </c>
      <c r="AH58" t="inlineStr">
        <is>
          <t>retomado</t>
        </is>
      </c>
    </row>
    <row r="59">
      <c r="A59" t="inlineStr">
        <is>
          <t>Composición del aire y contaminantes atmosféricos</t>
        </is>
      </c>
      <c r="B59" t="inlineStr">
        <is>
          <t>retomado</t>
        </is>
      </c>
      <c r="C59" t="n">
        <v>3</v>
      </c>
      <c r="D59" t="n">
        <v>9</v>
      </c>
      <c r="F59" t="n">
        <v>8</v>
      </c>
      <c r="G59" t="n">
        <v>8.5</v>
      </c>
      <c r="I59" t="n">
        <v>5</v>
      </c>
      <c r="L59" t="n">
        <v>9.5</v>
      </c>
      <c r="O59" t="n">
        <v>1</v>
      </c>
      <c r="P59" t="n">
        <v>1</v>
      </c>
      <c r="U59" t="n">
        <v>1</v>
      </c>
      <c r="W59" t="n">
        <v>1</v>
      </c>
      <c r="X59" t="n">
        <v>1</v>
      </c>
      <c r="Z59" t="n">
        <v>1</v>
      </c>
      <c r="AD59" t="n">
        <v>1</v>
      </c>
      <c r="AE59" t="n">
        <v>1</v>
      </c>
      <c r="AF59" t="n">
        <v>7</v>
      </c>
      <c r="AG59" t="inlineStr">
        <is>
          <t>retomado</t>
        </is>
      </c>
      <c r="AH59" t="inlineStr">
        <is>
          <t>retomado</t>
        </is>
      </c>
    </row>
    <row r="60">
      <c r="A60" t="inlineStr">
        <is>
          <t>Soluto, disolvente y concentración</t>
        </is>
      </c>
      <c r="B60" t="inlineStr">
        <is>
          <t>retomado</t>
        </is>
      </c>
      <c r="C60" t="n">
        <v>3</v>
      </c>
      <c r="D60" t="n">
        <v>9</v>
      </c>
      <c r="F60" t="n">
        <v>8</v>
      </c>
      <c r="G60" t="n">
        <v>8.5</v>
      </c>
      <c r="L60" t="n">
        <v>9.5</v>
      </c>
      <c r="M60" t="n">
        <v>7</v>
      </c>
      <c r="O60" t="n">
        <v>1</v>
      </c>
      <c r="P60" t="n">
        <v>1</v>
      </c>
      <c r="U60" t="n">
        <v>1</v>
      </c>
      <c r="V60" t="n">
        <v>1</v>
      </c>
      <c r="W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F60" t="n">
        <v>3</v>
      </c>
      <c r="AG60" t="inlineStr">
        <is>
          <t>retomado</t>
        </is>
      </c>
      <c r="AH60" t="inlineStr">
        <is>
          <t>retomado</t>
        </is>
      </c>
    </row>
    <row r="61">
      <c r="A61" t="inlineStr">
        <is>
          <t>Configuración electrónica por orbitales</t>
        </is>
      </c>
      <c r="B61" t="inlineStr">
        <is>
          <t>retomado</t>
        </is>
      </c>
      <c r="C61" t="n">
        <v>5</v>
      </c>
      <c r="D61" t="n">
        <v>10</v>
      </c>
      <c r="L61" t="n">
        <v>11</v>
      </c>
      <c r="U61" t="n">
        <v>1</v>
      </c>
      <c r="X61" t="n">
        <v>1</v>
      </c>
      <c r="Y61" t="n">
        <v>1</v>
      </c>
      <c r="AC61" t="n">
        <v>1</v>
      </c>
      <c r="AD61" t="n">
        <v>1</v>
      </c>
      <c r="AE61" t="n">
        <v>1</v>
      </c>
      <c r="AF61" t="n">
        <v>5</v>
      </c>
      <c r="AG61" t="inlineStr">
        <is>
          <t>retomado</t>
        </is>
      </c>
      <c r="AH61" t="inlineStr">
        <is>
          <t>retomado</t>
        </is>
      </c>
    </row>
    <row r="62">
      <c r="A62" t="inlineStr">
        <is>
          <t>Densidad y flotación</t>
        </is>
      </c>
      <c r="B62" t="inlineStr">
        <is>
          <t>retomado</t>
        </is>
      </c>
      <c r="C62" t="n">
        <v>2</v>
      </c>
      <c r="D62" t="n">
        <v>9</v>
      </c>
      <c r="F62" t="n">
        <v>8</v>
      </c>
      <c r="G62" t="n">
        <v>6</v>
      </c>
      <c r="I62" t="n">
        <v>2</v>
      </c>
      <c r="J62" t="n">
        <v>7</v>
      </c>
      <c r="L62" t="n">
        <v>9.5</v>
      </c>
      <c r="M62" t="n">
        <v>7</v>
      </c>
      <c r="O62" t="n">
        <v>1</v>
      </c>
      <c r="P62" t="n">
        <v>1</v>
      </c>
      <c r="U62" t="n">
        <v>1</v>
      </c>
      <c r="Y62" t="n">
        <v>1</v>
      </c>
      <c r="Z62" t="n">
        <v>1</v>
      </c>
      <c r="AD62" t="n">
        <v>1</v>
      </c>
      <c r="AF62" t="n">
        <v>2</v>
      </c>
      <c r="AG62" t="inlineStr">
        <is>
          <t>retomado</t>
        </is>
      </c>
      <c r="AH62" t="inlineStr">
        <is>
          <t>retomado</t>
        </is>
      </c>
    </row>
    <row r="63">
      <c r="A63" t="inlineStr">
        <is>
          <t>Disoluciones, coloides y suspensiones</t>
        </is>
      </c>
      <c r="B63" t="inlineStr">
        <is>
          <t>retomado</t>
        </is>
      </c>
      <c r="C63" t="n">
        <v>3</v>
      </c>
      <c r="D63" t="n">
        <v>10</v>
      </c>
      <c r="F63" t="n">
        <v>8</v>
      </c>
      <c r="M63" t="n">
        <v>7</v>
      </c>
      <c r="O63" t="n">
        <v>1</v>
      </c>
      <c r="V63" t="n">
        <v>1</v>
      </c>
      <c r="Z63" t="n">
        <v>1</v>
      </c>
      <c r="AA63" t="n">
        <v>1</v>
      </c>
      <c r="AC63" t="n">
        <v>1</v>
      </c>
      <c r="AF63" t="n">
        <v>3</v>
      </c>
      <c r="AG63" t="inlineStr">
        <is>
          <t>retomado</t>
        </is>
      </c>
      <c r="AH63" t="inlineStr">
        <is>
          <t>retomado</t>
        </is>
      </c>
    </row>
    <row r="64">
      <c r="A64" t="inlineStr">
        <is>
          <t>Distribución electrónica por niveles (modelo de capas)</t>
        </is>
      </c>
      <c r="B64" t="inlineStr">
        <is>
          <t>retomado</t>
        </is>
      </c>
      <c r="C64" t="n">
        <v>2</v>
      </c>
      <c r="D64" t="n">
        <v>9</v>
      </c>
      <c r="E64" t="n">
        <v>9</v>
      </c>
      <c r="F64" t="n">
        <v>8</v>
      </c>
      <c r="G64" t="n">
        <v>8.5</v>
      </c>
      <c r="I64" t="n">
        <v>9.5</v>
      </c>
      <c r="J64" t="n">
        <v>9</v>
      </c>
      <c r="K64" t="n">
        <v>8</v>
      </c>
      <c r="L64" t="n">
        <v>9.5</v>
      </c>
      <c r="N64" t="n">
        <v>1</v>
      </c>
      <c r="O64" t="n">
        <v>1</v>
      </c>
      <c r="P64" t="n">
        <v>1</v>
      </c>
      <c r="R64" t="n">
        <v>1</v>
      </c>
      <c r="S64" t="n">
        <v>1</v>
      </c>
      <c r="U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C64" t="n">
        <v>1</v>
      </c>
      <c r="AD64" t="n">
        <v>1</v>
      </c>
      <c r="AF64" t="n">
        <v>5</v>
      </c>
      <c r="AG64" t="inlineStr">
        <is>
          <t>retomado</t>
        </is>
      </c>
      <c r="AH64" t="inlineStr">
        <is>
          <t>retomado</t>
        </is>
      </c>
    </row>
    <row r="65">
      <c r="A65" t="inlineStr">
        <is>
          <t>Ecuación química y su balanceo</t>
        </is>
      </c>
      <c r="B65" t="inlineStr">
        <is>
          <t>retomado</t>
        </is>
      </c>
      <c r="C65" t="n">
        <v>6</v>
      </c>
      <c r="D65" t="n">
        <v>9</v>
      </c>
      <c r="E65" t="n">
        <v>8</v>
      </c>
      <c r="F65" t="n">
        <v>8</v>
      </c>
      <c r="G65" t="n">
        <v>6</v>
      </c>
      <c r="I65" t="n">
        <v>7</v>
      </c>
      <c r="J65" t="n">
        <v>7</v>
      </c>
      <c r="K65" t="n">
        <v>9</v>
      </c>
      <c r="L65" t="n">
        <v>9.5</v>
      </c>
      <c r="M65" t="n">
        <v>7</v>
      </c>
      <c r="O65" t="n">
        <v>1</v>
      </c>
      <c r="P65" t="n">
        <v>1</v>
      </c>
      <c r="R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7</v>
      </c>
      <c r="AG65" t="inlineStr">
        <is>
          <t>retomado</t>
        </is>
      </c>
      <c r="AH65" t="inlineStr">
        <is>
          <t>retomado</t>
        </is>
      </c>
    </row>
    <row r="66">
      <c r="A66" t="inlineStr">
        <is>
          <t>Electronegatividad y polaridad de enlace</t>
        </is>
      </c>
      <c r="B66" t="inlineStr">
        <is>
          <t>retomado</t>
        </is>
      </c>
      <c r="C66" t="n">
        <v>6</v>
      </c>
      <c r="D66" t="n">
        <v>10</v>
      </c>
      <c r="F66" t="n">
        <v>10.5</v>
      </c>
      <c r="L66" t="n">
        <v>11</v>
      </c>
      <c r="O66" t="n">
        <v>1</v>
      </c>
      <c r="U66" t="n">
        <v>1</v>
      </c>
      <c r="W66" t="n">
        <v>1</v>
      </c>
      <c r="X66" t="n">
        <v>1</v>
      </c>
      <c r="Y66" t="n">
        <v>1</v>
      </c>
      <c r="Z66" t="n">
        <v>1</v>
      </c>
      <c r="AB66" t="n">
        <v>1</v>
      </c>
      <c r="AC66" t="n">
        <v>1</v>
      </c>
      <c r="AD66" t="n">
        <v>1</v>
      </c>
      <c r="AF66" t="n">
        <v>6</v>
      </c>
      <c r="AG66" t="inlineStr">
        <is>
          <t>retomado</t>
        </is>
      </c>
      <c r="AH66" t="inlineStr">
        <is>
          <t>retomado</t>
        </is>
      </c>
    </row>
    <row r="67">
      <c r="A67" t="inlineStr">
        <is>
          <t>Electrones de valencia y regla del octeto</t>
        </is>
      </c>
      <c r="B67" t="inlineStr">
        <is>
          <t>retomado</t>
        </is>
      </c>
      <c r="C67" t="n">
        <v>6</v>
      </c>
      <c r="D67" t="n">
        <v>10</v>
      </c>
      <c r="F67" t="n">
        <v>10.5</v>
      </c>
      <c r="G67" t="n">
        <v>8.5</v>
      </c>
      <c r="I67" t="n">
        <v>9.5</v>
      </c>
      <c r="J67" t="n">
        <v>9</v>
      </c>
      <c r="L67" t="n">
        <v>9.5</v>
      </c>
      <c r="O67" t="n">
        <v>1</v>
      </c>
      <c r="P67" t="n">
        <v>1</v>
      </c>
      <c r="R67" t="n">
        <v>1</v>
      </c>
      <c r="S67" t="n">
        <v>1</v>
      </c>
      <c r="U67" t="n">
        <v>1</v>
      </c>
      <c r="W67" t="n">
        <v>1</v>
      </c>
      <c r="Y67" t="n">
        <v>1</v>
      </c>
      <c r="Z67" t="n">
        <v>1</v>
      </c>
      <c r="AB67" t="n">
        <v>1</v>
      </c>
      <c r="AC67" t="n">
        <v>1</v>
      </c>
      <c r="AD67" t="n">
        <v>1</v>
      </c>
      <c r="AF67" t="n">
        <v>6</v>
      </c>
      <c r="AG67" t="inlineStr">
        <is>
          <t>retomado</t>
        </is>
      </c>
      <c r="AH67" t="inlineStr">
        <is>
          <t>retomado</t>
        </is>
      </c>
    </row>
    <row r="68">
      <c r="A68" t="inlineStr">
        <is>
          <t>Enlace covalente</t>
        </is>
      </c>
      <c r="B68" t="inlineStr">
        <is>
          <t>retomado</t>
        </is>
      </c>
      <c r="C68" t="n">
        <v>6</v>
      </c>
      <c r="D68" t="n">
        <v>10</v>
      </c>
      <c r="F68" t="n">
        <v>8</v>
      </c>
      <c r="G68" t="n">
        <v>8.5</v>
      </c>
      <c r="I68" t="n">
        <v>9.5</v>
      </c>
      <c r="J68" t="n">
        <v>9</v>
      </c>
      <c r="L68" t="n">
        <v>9.5</v>
      </c>
      <c r="M68" t="n">
        <v>9.5</v>
      </c>
      <c r="O68" t="n">
        <v>1</v>
      </c>
      <c r="P68" t="n">
        <v>1</v>
      </c>
      <c r="R68" t="n">
        <v>1</v>
      </c>
      <c r="S68" t="n">
        <v>1</v>
      </c>
      <c r="U68" t="n">
        <v>1</v>
      </c>
      <c r="V68" t="n">
        <v>1</v>
      </c>
      <c r="W68" t="n">
        <v>1</v>
      </c>
      <c r="Y68" t="n">
        <v>1</v>
      </c>
      <c r="Z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6</v>
      </c>
      <c r="AG68" t="inlineStr">
        <is>
          <t>retomado</t>
        </is>
      </c>
      <c r="AH68" t="inlineStr">
        <is>
          <t>retomado</t>
        </is>
      </c>
    </row>
    <row r="69">
      <c r="A69" t="inlineStr">
        <is>
          <t>Enlace iónico</t>
        </is>
      </c>
      <c r="B69" t="inlineStr">
        <is>
          <t>retomado</t>
        </is>
      </c>
      <c r="C69" t="n">
        <v>5</v>
      </c>
      <c r="D69" t="n">
        <v>10</v>
      </c>
      <c r="F69" t="n">
        <v>8</v>
      </c>
      <c r="G69" t="n">
        <v>8.5</v>
      </c>
      <c r="I69" t="n">
        <v>9.5</v>
      </c>
      <c r="J69" t="n">
        <v>9</v>
      </c>
      <c r="L69" t="n">
        <v>9.5</v>
      </c>
      <c r="M69" t="n">
        <v>9.5</v>
      </c>
      <c r="O69" t="n">
        <v>1</v>
      </c>
      <c r="P69" t="n">
        <v>1</v>
      </c>
      <c r="R69" t="n">
        <v>1</v>
      </c>
      <c r="S69" t="n">
        <v>1</v>
      </c>
      <c r="U69" t="n">
        <v>1</v>
      </c>
      <c r="V69" t="n">
        <v>1</v>
      </c>
      <c r="W69" t="n">
        <v>1</v>
      </c>
      <c r="Y69" t="n">
        <v>1</v>
      </c>
      <c r="Z69" t="n">
        <v>1</v>
      </c>
      <c r="AB69" t="n">
        <v>1</v>
      </c>
      <c r="AC69" t="n">
        <v>1</v>
      </c>
      <c r="AD69" t="n">
        <v>1</v>
      </c>
      <c r="AF69" t="n">
        <v>5</v>
      </c>
      <c r="AG69" t="inlineStr">
        <is>
          <t>retomado</t>
        </is>
      </c>
      <c r="AH69" t="inlineStr">
        <is>
          <t>retomado</t>
        </is>
      </c>
    </row>
    <row r="70">
      <c r="A70" t="inlineStr">
        <is>
          <t>Enlace metálico</t>
        </is>
      </c>
      <c r="B70" t="inlineStr">
        <is>
          <t>retomado</t>
        </is>
      </c>
      <c r="C70" t="n">
        <v>6</v>
      </c>
      <c r="D70" t="n">
        <v>10</v>
      </c>
      <c r="F70" t="n">
        <v>8</v>
      </c>
      <c r="G70" t="n">
        <v>8.5</v>
      </c>
      <c r="I70" t="n">
        <v>9.5</v>
      </c>
      <c r="J70" t="n">
        <v>9</v>
      </c>
      <c r="L70" t="n">
        <v>9.5</v>
      </c>
      <c r="O70" t="n">
        <v>1</v>
      </c>
      <c r="P70" t="n">
        <v>1</v>
      </c>
      <c r="R70" t="n">
        <v>1</v>
      </c>
      <c r="S70" t="n">
        <v>1</v>
      </c>
      <c r="U70" t="n">
        <v>1</v>
      </c>
      <c r="W70" t="n">
        <v>1</v>
      </c>
      <c r="X70" t="n">
        <v>1</v>
      </c>
      <c r="Y70" t="n">
        <v>1</v>
      </c>
      <c r="Z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6</v>
      </c>
      <c r="AG70" t="inlineStr">
        <is>
          <t>retomado</t>
        </is>
      </c>
      <c r="AH70" t="inlineStr">
        <is>
          <t>retomado</t>
        </is>
      </c>
    </row>
    <row r="71">
      <c r="A71" t="inlineStr">
        <is>
          <t>Escala de pH</t>
        </is>
      </c>
      <c r="B71" t="inlineStr">
        <is>
          <t>retomado</t>
        </is>
      </c>
      <c r="C71" t="n">
        <v>7</v>
      </c>
      <c r="D71" t="n">
        <v>9</v>
      </c>
      <c r="F71" t="n">
        <v>8</v>
      </c>
      <c r="G71" t="n">
        <v>6</v>
      </c>
      <c r="I71" t="n">
        <v>9.5</v>
      </c>
      <c r="K71" t="n">
        <v>9</v>
      </c>
      <c r="L71" t="n">
        <v>9.5</v>
      </c>
      <c r="M71" t="n">
        <v>7</v>
      </c>
      <c r="O71" t="n">
        <v>1</v>
      </c>
      <c r="P71" t="n">
        <v>1</v>
      </c>
      <c r="R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7</v>
      </c>
      <c r="AG71" t="inlineStr">
        <is>
          <t>retomado</t>
        </is>
      </c>
      <c r="AH71" t="inlineStr">
        <is>
          <t>retomado</t>
        </is>
      </c>
    </row>
    <row r="72">
      <c r="A72" t="inlineStr">
        <is>
          <t>Estados de la materia</t>
        </is>
      </c>
      <c r="B72" t="inlineStr">
        <is>
          <t>retomado</t>
        </is>
      </c>
      <c r="C72" t="n">
        <v>2</v>
      </c>
      <c r="D72" t="n">
        <v>9</v>
      </c>
      <c r="E72" t="n">
        <v>2</v>
      </c>
      <c r="F72" t="n">
        <v>8</v>
      </c>
      <c r="G72" t="n">
        <v>2</v>
      </c>
      <c r="I72" t="n">
        <v>3</v>
      </c>
      <c r="J72" t="n">
        <v>7</v>
      </c>
      <c r="L72" t="n">
        <v>9.5</v>
      </c>
      <c r="M72" t="n">
        <v>7</v>
      </c>
      <c r="O72" t="n">
        <v>1</v>
      </c>
      <c r="P72" t="n">
        <v>1</v>
      </c>
      <c r="R72" t="n">
        <v>1</v>
      </c>
      <c r="U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F72" t="n">
        <v>2</v>
      </c>
      <c r="AG72" t="inlineStr">
        <is>
          <t>retomado</t>
        </is>
      </c>
      <c r="AH72" t="inlineStr">
        <is>
          <t>retomado</t>
        </is>
      </c>
    </row>
    <row r="73">
      <c r="A73" t="inlineStr">
        <is>
          <t>Estequiometría</t>
        </is>
      </c>
      <c r="B73" t="inlineStr">
        <is>
          <t>retomado</t>
        </is>
      </c>
      <c r="C73" t="n">
        <v>8</v>
      </c>
      <c r="D73" t="n">
        <v>10</v>
      </c>
      <c r="F73" t="n">
        <v>8</v>
      </c>
      <c r="G73" t="n">
        <v>8.5</v>
      </c>
      <c r="I73" t="n">
        <v>9.5</v>
      </c>
      <c r="J73" t="n">
        <v>7</v>
      </c>
      <c r="L73" t="n">
        <v>9.5</v>
      </c>
      <c r="M73" t="n">
        <v>9.5</v>
      </c>
      <c r="O73" t="n">
        <v>1</v>
      </c>
      <c r="P73" t="n">
        <v>1</v>
      </c>
      <c r="R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8</v>
      </c>
      <c r="AG73" t="inlineStr">
        <is>
          <t>retomado</t>
        </is>
      </c>
      <c r="AH73" t="inlineStr">
        <is>
          <t>retomado</t>
        </is>
      </c>
    </row>
    <row r="74">
      <c r="A74" t="inlineStr">
        <is>
          <t>Notación y estructuras de Lewis</t>
        </is>
      </c>
      <c r="B74" t="inlineStr">
        <is>
          <t>retomado</t>
        </is>
      </c>
      <c r="C74" t="n">
        <v>6</v>
      </c>
      <c r="D74" t="n">
        <v>10</v>
      </c>
      <c r="F74" t="n">
        <v>10.5</v>
      </c>
      <c r="G74" t="n">
        <v>8.5</v>
      </c>
      <c r="L74" t="n">
        <v>9.5</v>
      </c>
      <c r="O74" t="n">
        <v>1</v>
      </c>
      <c r="P74" t="n">
        <v>1</v>
      </c>
      <c r="U74" t="n">
        <v>1</v>
      </c>
      <c r="W74" t="n">
        <v>1</v>
      </c>
      <c r="X74" t="n">
        <v>1</v>
      </c>
      <c r="Y74" t="n">
        <v>1</v>
      </c>
      <c r="Z74" t="n">
        <v>1</v>
      </c>
      <c r="AB74" t="n">
        <v>1</v>
      </c>
      <c r="AC74" t="n">
        <v>1</v>
      </c>
      <c r="AD74" t="n">
        <v>1</v>
      </c>
      <c r="AF74" t="n">
        <v>6</v>
      </c>
      <c r="AG74" t="inlineStr">
        <is>
          <t>retomado</t>
        </is>
      </c>
      <c r="AH74" t="inlineStr">
        <is>
          <t>retomado</t>
        </is>
      </c>
    </row>
    <row r="75">
      <c r="A75" t="inlineStr">
        <is>
          <t>Fuerzas intermoleculares</t>
        </is>
      </c>
      <c r="B75" t="inlineStr">
        <is>
          <t>retomado</t>
        </is>
      </c>
      <c r="C75" t="n">
        <v>6</v>
      </c>
      <c r="D75" t="n">
        <v>10</v>
      </c>
      <c r="F75" t="n">
        <v>10.5</v>
      </c>
      <c r="G75" t="n">
        <v>8.5</v>
      </c>
      <c r="J75" t="n">
        <v>7</v>
      </c>
      <c r="L75" t="n">
        <v>9.5</v>
      </c>
      <c r="M75" t="n">
        <v>9.5</v>
      </c>
      <c r="O75" t="n">
        <v>1</v>
      </c>
      <c r="P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6</v>
      </c>
      <c r="AG75" t="inlineStr">
        <is>
          <t>retomado</t>
        </is>
      </c>
      <c r="AH75" t="inlineStr">
        <is>
          <t>retomado</t>
        </is>
      </c>
    </row>
    <row r="76">
      <c r="A76" t="inlineStr">
        <is>
          <t>Fuerzas intermoleculares y propiedades físicas</t>
        </is>
      </c>
      <c r="B76" t="inlineStr">
        <is>
          <t>retomado</t>
        </is>
      </c>
      <c r="C76" t="n">
        <v>3</v>
      </c>
      <c r="D76" t="n">
        <v>10</v>
      </c>
      <c r="F76" t="n">
        <v>8</v>
      </c>
      <c r="G76" t="n">
        <v>8.5</v>
      </c>
      <c r="I76" t="n">
        <v>9.5</v>
      </c>
      <c r="L76" t="n">
        <v>9.5</v>
      </c>
      <c r="O76" t="n">
        <v>1</v>
      </c>
      <c r="P76" t="n">
        <v>1</v>
      </c>
      <c r="R76" t="n">
        <v>1</v>
      </c>
      <c r="U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6</v>
      </c>
      <c r="AG76" t="inlineStr">
        <is>
          <t>retomado</t>
        </is>
      </c>
      <c r="AH76" t="inlineStr">
        <is>
          <t>retomado</t>
        </is>
      </c>
    </row>
    <row r="77">
      <c r="A77" t="inlineStr">
        <is>
          <t>Geometría molecular (RPECV)</t>
        </is>
      </c>
      <c r="B77" t="inlineStr">
        <is>
          <t>retomado</t>
        </is>
      </c>
      <c r="C77" t="n">
        <v>6</v>
      </c>
      <c r="D77" t="n">
        <v>10</v>
      </c>
      <c r="G77" t="n">
        <v>8.5</v>
      </c>
      <c r="L77" t="n">
        <v>11</v>
      </c>
      <c r="M77" t="n">
        <v>9.5</v>
      </c>
      <c r="P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6</v>
      </c>
      <c r="AG77" t="inlineStr">
        <is>
          <t>retomado</t>
        </is>
      </c>
      <c r="AH77" t="inlineStr">
        <is>
          <t>retomado</t>
        </is>
      </c>
    </row>
    <row r="78">
      <c r="A78" t="inlineStr">
        <is>
          <t>Iones</t>
        </is>
      </c>
      <c r="B78" t="inlineStr">
        <is>
          <t>retomado</t>
        </is>
      </c>
      <c r="C78" t="n">
        <v>5</v>
      </c>
      <c r="D78" t="n">
        <v>10</v>
      </c>
      <c r="F78" t="n">
        <v>8</v>
      </c>
      <c r="G78" t="n">
        <v>8.5</v>
      </c>
      <c r="I78" t="n">
        <v>8</v>
      </c>
      <c r="J78" t="n">
        <v>7</v>
      </c>
      <c r="K78" t="n">
        <v>9</v>
      </c>
      <c r="L78" t="n">
        <v>9.5</v>
      </c>
      <c r="M78" t="n">
        <v>7</v>
      </c>
      <c r="O78" t="n">
        <v>1</v>
      </c>
      <c r="P78" t="n">
        <v>1</v>
      </c>
      <c r="R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C78" t="n">
        <v>1</v>
      </c>
      <c r="AD78" t="n">
        <v>1</v>
      </c>
      <c r="AF78" t="n">
        <v>5</v>
      </c>
      <c r="AG78" t="inlineStr">
        <is>
          <t>retomado</t>
        </is>
      </c>
      <c r="AH78" t="inlineStr">
        <is>
          <t>retomado</t>
        </is>
      </c>
    </row>
    <row r="79">
      <c r="A79" t="inlineStr">
        <is>
          <t>Isótopos</t>
        </is>
      </c>
      <c r="B79" t="inlineStr">
        <is>
          <t>retomado</t>
        </is>
      </c>
      <c r="C79" t="n">
        <v>5</v>
      </c>
      <c r="D79" t="n">
        <v>10</v>
      </c>
      <c r="E79" t="n">
        <v>8</v>
      </c>
      <c r="G79" t="n">
        <v>8.5</v>
      </c>
      <c r="I79" t="n">
        <v>9.5</v>
      </c>
      <c r="L79" t="n">
        <v>9.5</v>
      </c>
      <c r="M79" t="n">
        <v>9.5</v>
      </c>
      <c r="P79" t="n">
        <v>1</v>
      </c>
      <c r="R79" t="n">
        <v>1</v>
      </c>
      <c r="U79" t="n">
        <v>1</v>
      </c>
      <c r="V79" t="n">
        <v>1</v>
      </c>
      <c r="W79" t="n">
        <v>1</v>
      </c>
      <c r="Y79" t="n">
        <v>1</v>
      </c>
      <c r="Z79" t="n">
        <v>1</v>
      </c>
      <c r="AC79" t="n">
        <v>1</v>
      </c>
      <c r="AD79" t="n">
        <v>1</v>
      </c>
      <c r="AF79" t="n">
        <v>5</v>
      </c>
      <c r="AG79" t="inlineStr">
        <is>
          <t>retomado</t>
        </is>
      </c>
      <c r="AH79" t="inlineStr">
        <is>
          <t>retomado</t>
        </is>
      </c>
    </row>
    <row r="80">
      <c r="A80" t="inlineStr">
        <is>
          <t>Masa atómica relativa</t>
        </is>
      </c>
      <c r="B80" t="inlineStr">
        <is>
          <t>retomado</t>
        </is>
      </c>
      <c r="C80" t="n">
        <v>5</v>
      </c>
      <c r="D80" t="n">
        <v>10</v>
      </c>
      <c r="G80" t="n">
        <v>8.5</v>
      </c>
      <c r="L80" t="n">
        <v>9.5</v>
      </c>
      <c r="M80" t="n">
        <v>7</v>
      </c>
      <c r="P80" t="n">
        <v>1</v>
      </c>
      <c r="U80" t="n">
        <v>1</v>
      </c>
      <c r="W80" t="n">
        <v>1</v>
      </c>
      <c r="Y80" t="n">
        <v>1</v>
      </c>
      <c r="Z80" t="n">
        <v>1</v>
      </c>
      <c r="AC80" t="n">
        <v>1</v>
      </c>
      <c r="AD80" t="n">
        <v>1</v>
      </c>
      <c r="AF80" t="n">
        <v>5</v>
      </c>
      <c r="AG80" t="inlineStr">
        <is>
          <t>retomado</t>
        </is>
      </c>
      <c r="AH80" t="inlineStr">
        <is>
          <t>retomado</t>
        </is>
      </c>
    </row>
    <row r="81">
      <c r="A81" t="inlineStr">
        <is>
          <t>Masa molar</t>
        </is>
      </c>
      <c r="B81" t="inlineStr">
        <is>
          <t>retomado</t>
        </is>
      </c>
      <c r="C81" t="n">
        <v>8</v>
      </c>
      <c r="D81" t="n">
        <v>10</v>
      </c>
      <c r="F81" t="n">
        <v>8</v>
      </c>
      <c r="G81" t="n">
        <v>8.5</v>
      </c>
      <c r="I81" t="n">
        <v>9.5</v>
      </c>
      <c r="L81" t="n">
        <v>9.5</v>
      </c>
      <c r="M81" t="n">
        <v>9.5</v>
      </c>
      <c r="O81" t="n">
        <v>1</v>
      </c>
      <c r="P81" t="n">
        <v>1</v>
      </c>
      <c r="R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B81" t="n">
        <v>1</v>
      </c>
      <c r="AC81" t="n">
        <v>1</v>
      </c>
      <c r="AD81" t="n">
        <v>1</v>
      </c>
      <c r="AF81" t="n">
        <v>8</v>
      </c>
      <c r="AG81" t="inlineStr">
        <is>
          <t>retomado</t>
        </is>
      </c>
      <c r="AH81" t="inlineStr">
        <is>
          <t>retomado</t>
        </is>
      </c>
    </row>
    <row r="82">
      <c r="A82" t="inlineStr">
        <is>
          <t>Materia y materiales</t>
        </is>
      </c>
      <c r="B82" t="inlineStr">
        <is>
          <t>retomado</t>
        </is>
      </c>
      <c r="C82" t="n">
        <v>2</v>
      </c>
      <c r="D82" t="n">
        <v>10</v>
      </c>
      <c r="E82" t="n">
        <v>2</v>
      </c>
      <c r="F82" t="n">
        <v>8</v>
      </c>
      <c r="G82" t="n">
        <v>2</v>
      </c>
      <c r="I82" t="n">
        <v>6</v>
      </c>
      <c r="J82" t="n">
        <v>7</v>
      </c>
      <c r="K82" t="n">
        <v>8</v>
      </c>
      <c r="L82" t="n">
        <v>9.5</v>
      </c>
      <c r="M82" t="n">
        <v>7</v>
      </c>
      <c r="O82" t="n">
        <v>1</v>
      </c>
      <c r="P82" t="n">
        <v>1</v>
      </c>
      <c r="R82" t="n">
        <v>1</v>
      </c>
      <c r="U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D82" t="n">
        <v>1</v>
      </c>
      <c r="AF82" t="n">
        <v>2</v>
      </c>
      <c r="AG82" t="inlineStr">
        <is>
          <t>retomado</t>
        </is>
      </c>
      <c r="AH82" t="inlineStr">
        <is>
          <t>retomado</t>
        </is>
      </c>
    </row>
    <row r="83">
      <c r="A83" t="inlineStr">
        <is>
          <t>Reutilización y reciclaje de materiales</t>
        </is>
      </c>
      <c r="B83" t="inlineStr">
        <is>
          <t>retomado</t>
        </is>
      </c>
      <c r="C83" t="n">
        <v>2</v>
      </c>
      <c r="D83" t="n">
        <v>11</v>
      </c>
      <c r="F83" t="n">
        <v>8</v>
      </c>
      <c r="G83" t="n">
        <v>8.5</v>
      </c>
      <c r="I83" t="n">
        <v>8</v>
      </c>
      <c r="J83" t="n">
        <v>9</v>
      </c>
      <c r="K83" t="n">
        <v>8</v>
      </c>
      <c r="L83" t="n">
        <v>9.5</v>
      </c>
      <c r="M83" t="n">
        <v>7</v>
      </c>
      <c r="O83" t="n">
        <v>1</v>
      </c>
      <c r="P83" t="n">
        <v>1</v>
      </c>
      <c r="R83" t="n">
        <v>1</v>
      </c>
      <c r="S83" t="n">
        <v>1</v>
      </c>
      <c r="U83" t="n">
        <v>1</v>
      </c>
      <c r="V83" t="n">
        <v>1</v>
      </c>
      <c r="Y83" t="n">
        <v>1</v>
      </c>
      <c r="Z83" t="n">
        <v>1</v>
      </c>
      <c r="AC83" t="n">
        <v>1</v>
      </c>
      <c r="AD83" t="n">
        <v>1</v>
      </c>
      <c r="AE83" t="n">
        <v>1</v>
      </c>
      <c r="AF83" t="n">
        <v>2</v>
      </c>
      <c r="AG83" t="inlineStr">
        <is>
          <t>retomado</t>
        </is>
      </c>
      <c r="AH83" t="inlineStr">
        <is>
          <t>retomado</t>
        </is>
      </c>
    </row>
    <row r="84">
      <c r="A84" t="inlineStr">
        <is>
          <t>Mezclas homogéneas y heterogéneas</t>
        </is>
      </c>
      <c r="B84" t="inlineStr">
        <is>
          <t>retomado</t>
        </is>
      </c>
      <c r="C84" t="n">
        <v>2</v>
      </c>
      <c r="D84" t="n">
        <v>9</v>
      </c>
      <c r="E84" t="n">
        <v>6</v>
      </c>
      <c r="F84" t="n">
        <v>8</v>
      </c>
      <c r="G84" t="n">
        <v>6</v>
      </c>
      <c r="I84" t="n">
        <v>4</v>
      </c>
      <c r="J84" t="n">
        <v>7</v>
      </c>
      <c r="L84" t="n">
        <v>9.5</v>
      </c>
      <c r="M84" t="n">
        <v>7</v>
      </c>
      <c r="O84" t="n">
        <v>1</v>
      </c>
      <c r="P84" t="n">
        <v>1</v>
      </c>
      <c r="R84" t="n">
        <v>1</v>
      </c>
      <c r="U84" t="n">
        <v>1</v>
      </c>
      <c r="W84" t="n">
        <v>1</v>
      </c>
      <c r="Y84" t="n">
        <v>1</v>
      </c>
      <c r="Z84" t="n">
        <v>1</v>
      </c>
      <c r="AB84" t="n">
        <v>1</v>
      </c>
      <c r="AD84" t="n">
        <v>1</v>
      </c>
      <c r="AF84" t="n">
        <v>2</v>
      </c>
      <c r="AG84" t="inlineStr">
        <is>
          <t>retomado</t>
        </is>
      </c>
      <c r="AH84" t="inlineStr">
        <is>
          <t>retomado</t>
        </is>
      </c>
    </row>
    <row r="85">
      <c r="A85" t="inlineStr">
        <is>
          <t>Modelo de partículas de la materia</t>
        </is>
      </c>
      <c r="B85" t="inlineStr">
        <is>
          <t>retomado</t>
        </is>
      </c>
      <c r="C85" t="n">
        <v>6</v>
      </c>
      <c r="D85" t="n">
        <v>10</v>
      </c>
      <c r="E85" t="n">
        <v>4</v>
      </c>
      <c r="F85" t="n">
        <v>8</v>
      </c>
      <c r="G85" t="n">
        <v>6</v>
      </c>
      <c r="I85" t="n">
        <v>9.5</v>
      </c>
      <c r="J85" t="n">
        <v>7</v>
      </c>
      <c r="K85" t="n">
        <v>8</v>
      </c>
      <c r="L85" t="n">
        <v>9.5</v>
      </c>
      <c r="M85" t="n">
        <v>7</v>
      </c>
      <c r="O85" t="n">
        <v>1</v>
      </c>
      <c r="P85" t="n">
        <v>1</v>
      </c>
      <c r="R85" t="n">
        <v>1</v>
      </c>
      <c r="U85" t="n">
        <v>1</v>
      </c>
      <c r="V85" t="n">
        <v>1</v>
      </c>
      <c r="W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6</v>
      </c>
      <c r="AG85" t="inlineStr">
        <is>
          <t>retomado</t>
        </is>
      </c>
      <c r="AH85" t="inlineStr">
        <is>
          <t>retomado</t>
        </is>
      </c>
    </row>
    <row r="86">
      <c r="A86" t="inlineStr">
        <is>
          <t>Modelo mecanocuántico y orbitales atómicos</t>
        </is>
      </c>
      <c r="B86" t="inlineStr">
        <is>
          <t>retomado</t>
        </is>
      </c>
      <c r="C86" t="n">
        <v>5</v>
      </c>
      <c r="D86" t="n">
        <v>10</v>
      </c>
      <c r="L86" t="n">
        <v>11</v>
      </c>
      <c r="U86" t="n">
        <v>1</v>
      </c>
      <c r="Y86" t="n">
        <v>1</v>
      </c>
      <c r="Z86" t="n">
        <v>1</v>
      </c>
      <c r="AC86" t="n">
        <v>1</v>
      </c>
      <c r="AD86" t="n">
        <v>1</v>
      </c>
      <c r="AE86" t="n">
        <v>1</v>
      </c>
      <c r="AF86" t="n">
        <v>5</v>
      </c>
      <c r="AG86" t="inlineStr">
        <is>
          <t>retomado</t>
        </is>
      </c>
      <c r="AH86" t="inlineStr">
        <is>
          <t>retomado</t>
        </is>
      </c>
    </row>
    <row r="87">
      <c r="A87" t="inlineStr">
        <is>
          <t>Evolución de los modelos atómicos</t>
        </is>
      </c>
      <c r="B87" t="inlineStr">
        <is>
          <t>retomado</t>
        </is>
      </c>
      <c r="C87" t="n">
        <v>5</v>
      </c>
      <c r="D87" t="n">
        <v>10</v>
      </c>
      <c r="E87" t="n">
        <v>8</v>
      </c>
      <c r="F87" t="n">
        <v>10.5</v>
      </c>
      <c r="G87" t="n">
        <v>6</v>
      </c>
      <c r="J87" t="n">
        <v>9</v>
      </c>
      <c r="K87" t="n">
        <v>8</v>
      </c>
      <c r="L87" t="n">
        <v>9.5</v>
      </c>
      <c r="M87" t="n">
        <v>7</v>
      </c>
      <c r="O87" t="n">
        <v>1</v>
      </c>
      <c r="P87" t="n">
        <v>1</v>
      </c>
      <c r="S87" t="n">
        <v>1</v>
      </c>
      <c r="U87" t="n">
        <v>1</v>
      </c>
      <c r="V87" t="n">
        <v>1</v>
      </c>
      <c r="W87" t="n">
        <v>1</v>
      </c>
      <c r="Y87" t="n">
        <v>1</v>
      </c>
      <c r="Z87" t="n">
        <v>1</v>
      </c>
      <c r="AC87" t="n">
        <v>1</v>
      </c>
      <c r="AD87" t="n">
        <v>1</v>
      </c>
      <c r="AE87" t="n">
        <v>1</v>
      </c>
      <c r="AF87" t="n">
        <v>5</v>
      </c>
      <c r="AG87" t="inlineStr">
        <is>
          <t>retomado</t>
        </is>
      </c>
      <c r="AH87" t="inlineStr">
        <is>
          <t>retomado</t>
        </is>
      </c>
    </row>
    <row r="88">
      <c r="A88" t="inlineStr">
        <is>
          <t>Mol y número de Avogadro</t>
        </is>
      </c>
      <c r="B88" t="inlineStr">
        <is>
          <t>retomado</t>
        </is>
      </c>
      <c r="C88" t="n">
        <v>8</v>
      </c>
      <c r="D88" t="n">
        <v>10</v>
      </c>
      <c r="F88" t="n">
        <v>8</v>
      </c>
      <c r="G88" t="n">
        <v>8.5</v>
      </c>
      <c r="I88" t="n">
        <v>9.5</v>
      </c>
      <c r="L88" t="n">
        <v>9.5</v>
      </c>
      <c r="M88" t="n">
        <v>9.5</v>
      </c>
      <c r="O88" t="n">
        <v>1</v>
      </c>
      <c r="P88" t="n">
        <v>1</v>
      </c>
      <c r="R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B88" t="n">
        <v>1</v>
      </c>
      <c r="AC88" t="n">
        <v>1</v>
      </c>
      <c r="AD88" t="n">
        <v>1</v>
      </c>
      <c r="AF88" t="n">
        <v>8</v>
      </c>
      <c r="AG88" t="inlineStr">
        <is>
          <t>retomado</t>
        </is>
      </c>
      <c r="AH88" t="inlineStr">
        <is>
          <t>retomado</t>
        </is>
      </c>
    </row>
    <row r="89">
      <c r="A89" t="inlineStr">
        <is>
          <t>Molaridad y unidades químicas de concentración</t>
        </is>
      </c>
      <c r="B89" t="inlineStr">
        <is>
          <t>retomado</t>
        </is>
      </c>
      <c r="C89" t="n">
        <v>8</v>
      </c>
      <c r="D89" t="n">
        <v>9</v>
      </c>
      <c r="F89" t="n">
        <v>10.5</v>
      </c>
      <c r="I89" t="n">
        <v>9.5</v>
      </c>
      <c r="L89" t="n">
        <v>9.5</v>
      </c>
      <c r="M89" t="n">
        <v>9.5</v>
      </c>
      <c r="O89" t="n">
        <v>1</v>
      </c>
      <c r="R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8</v>
      </c>
      <c r="AG89" t="inlineStr">
        <is>
          <t>retomado</t>
        </is>
      </c>
      <c r="AH89" t="inlineStr">
        <is>
          <t>retomado</t>
        </is>
      </c>
    </row>
    <row r="90">
      <c r="A90" t="inlineStr">
        <is>
          <t>Moléculas y fórmulas químicas</t>
        </is>
      </c>
      <c r="B90" t="inlineStr">
        <is>
          <t>retomado</t>
        </is>
      </c>
      <c r="C90" t="n">
        <v>5</v>
      </c>
      <c r="D90" t="n">
        <v>10</v>
      </c>
      <c r="E90" t="n">
        <v>7</v>
      </c>
      <c r="F90" t="n">
        <v>8</v>
      </c>
      <c r="G90" t="n">
        <v>6</v>
      </c>
      <c r="I90" t="n">
        <v>7</v>
      </c>
      <c r="J90" t="n">
        <v>7</v>
      </c>
      <c r="K90" t="n">
        <v>8</v>
      </c>
      <c r="L90" t="n">
        <v>9.5</v>
      </c>
      <c r="M90" t="n">
        <v>7</v>
      </c>
      <c r="O90" t="n">
        <v>1</v>
      </c>
      <c r="P90" t="n">
        <v>1</v>
      </c>
      <c r="T90" t="n">
        <v>1</v>
      </c>
      <c r="U90" t="n">
        <v>1</v>
      </c>
      <c r="W90" t="n">
        <v>1</v>
      </c>
      <c r="X90" t="n">
        <v>1</v>
      </c>
      <c r="Y90" t="n">
        <v>1</v>
      </c>
      <c r="Z90" t="n">
        <v>1</v>
      </c>
      <c r="AB90" t="n">
        <v>1</v>
      </c>
      <c r="AC90" t="n">
        <v>1</v>
      </c>
      <c r="AD90" t="n">
        <v>1</v>
      </c>
      <c r="AF90" t="n">
        <v>5</v>
      </c>
      <c r="AG90" t="inlineStr">
        <is>
          <t>retomado</t>
        </is>
      </c>
      <c r="AH90" t="inlineStr">
        <is>
          <t>retomado</t>
        </is>
      </c>
    </row>
    <row r="91">
      <c r="A91" t="inlineStr">
        <is>
          <t>Número de oxidación</t>
        </is>
      </c>
      <c r="B91" t="inlineStr">
        <is>
          <t>retomado</t>
        </is>
      </c>
      <c r="C91" t="n">
        <v>5</v>
      </c>
      <c r="D91" t="n">
        <v>10</v>
      </c>
      <c r="F91" t="n">
        <v>8</v>
      </c>
      <c r="I91" t="n">
        <v>9.5</v>
      </c>
      <c r="L91" t="n">
        <v>9.5</v>
      </c>
      <c r="O91" t="n">
        <v>1</v>
      </c>
      <c r="R91" t="n">
        <v>1</v>
      </c>
      <c r="U91" t="n">
        <v>1</v>
      </c>
      <c r="X91" t="n">
        <v>1</v>
      </c>
      <c r="Y91" t="n">
        <v>1</v>
      </c>
      <c r="Z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5</v>
      </c>
      <c r="AG91" t="inlineStr">
        <is>
          <t>retomado</t>
        </is>
      </c>
      <c r="AH91" t="inlineStr">
        <is>
          <t>retomado</t>
        </is>
      </c>
    </row>
    <row r="92">
      <c r="A92" t="inlineStr">
        <is>
          <t>Números cuánticos</t>
        </is>
      </c>
      <c r="B92" t="inlineStr">
        <is>
          <t>retomado</t>
        </is>
      </c>
      <c r="C92" t="n">
        <v>5</v>
      </c>
      <c r="D92" t="n">
        <v>10</v>
      </c>
      <c r="L92" t="n">
        <v>11</v>
      </c>
      <c r="U92" t="n">
        <v>1</v>
      </c>
      <c r="AD92" t="n">
        <v>1</v>
      </c>
      <c r="AE92" t="n">
        <v>1</v>
      </c>
      <c r="AF92" t="n">
        <v>5</v>
      </c>
      <c r="AG92" t="inlineStr">
        <is>
          <t>retomado</t>
        </is>
      </c>
      <c r="AH92" t="inlineStr">
        <is>
          <t>retomado</t>
        </is>
      </c>
    </row>
    <row r="93">
      <c r="A93" t="inlineStr">
        <is>
          <t>Polaridad molecular</t>
        </is>
      </c>
      <c r="B93" t="inlineStr">
        <is>
          <t>retomado</t>
        </is>
      </c>
      <c r="C93" t="n">
        <v>6</v>
      </c>
      <c r="D93" t="n">
        <v>10</v>
      </c>
      <c r="F93" t="n">
        <v>8</v>
      </c>
      <c r="I93" t="n">
        <v>9.5</v>
      </c>
      <c r="L93" t="n">
        <v>11</v>
      </c>
      <c r="M93" t="n">
        <v>9.5</v>
      </c>
      <c r="O93" t="n">
        <v>1</v>
      </c>
      <c r="R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6</v>
      </c>
      <c r="AG93" t="inlineStr">
        <is>
          <t>retomado</t>
        </is>
      </c>
      <c r="AH93" t="inlineStr">
        <is>
          <t>retomado</t>
        </is>
      </c>
    </row>
    <row r="94">
      <c r="A94" t="inlineStr">
        <is>
          <t>Proceso de disolución y solvatación</t>
        </is>
      </c>
      <c r="B94" t="inlineStr">
        <is>
          <t>retomado</t>
        </is>
      </c>
      <c r="C94" t="n">
        <v>7</v>
      </c>
      <c r="D94" t="n">
        <v>10</v>
      </c>
      <c r="F94" t="n">
        <v>10.5</v>
      </c>
      <c r="G94" t="n">
        <v>3</v>
      </c>
      <c r="M94" t="n">
        <v>7</v>
      </c>
      <c r="O94" t="n">
        <v>1</v>
      </c>
      <c r="V94" t="n">
        <v>1</v>
      </c>
      <c r="W94" t="n">
        <v>1</v>
      </c>
      <c r="AA94" t="n">
        <v>1</v>
      </c>
      <c r="AC94" t="n">
        <v>1</v>
      </c>
      <c r="AD94" t="n">
        <v>1</v>
      </c>
      <c r="AF94" t="n">
        <v>8</v>
      </c>
      <c r="AG94" t="inlineStr">
        <is>
          <t>retomado</t>
        </is>
      </c>
      <c r="AH94" t="inlineStr">
        <is>
          <t>retomado</t>
        </is>
      </c>
    </row>
    <row r="95">
      <c r="A95" t="inlineStr">
        <is>
          <t>Procesos de la industria química</t>
        </is>
      </c>
      <c r="B95" t="inlineStr">
        <is>
          <t>retomado</t>
        </is>
      </c>
      <c r="C95" t="n">
        <v>8</v>
      </c>
      <c r="D95" t="n">
        <v>10</v>
      </c>
      <c r="G95" t="n">
        <v>6</v>
      </c>
      <c r="M95" t="n">
        <v>9.5</v>
      </c>
      <c r="P95" t="n">
        <v>1</v>
      </c>
      <c r="V95" t="n">
        <v>1</v>
      </c>
      <c r="W95" t="n">
        <v>1</v>
      </c>
      <c r="Y95" t="n">
        <v>1</v>
      </c>
      <c r="Z95" t="n">
        <v>1</v>
      </c>
      <c r="AB95" t="n">
        <v>1</v>
      </c>
      <c r="AC95" t="n">
        <v>1</v>
      </c>
      <c r="AD95" t="n">
        <v>1</v>
      </c>
      <c r="AF95" t="n">
        <v>8</v>
      </c>
      <c r="AG95" t="inlineStr">
        <is>
          <t>retomado</t>
        </is>
      </c>
      <c r="AH95" t="inlineStr">
        <is>
          <t>retomado</t>
        </is>
      </c>
    </row>
    <row r="96">
      <c r="A96" t="inlineStr">
        <is>
          <t>Propiedades coligativas</t>
        </is>
      </c>
      <c r="B96" t="inlineStr">
        <is>
          <t>retomado</t>
        </is>
      </c>
      <c r="C96" t="n">
        <v>8</v>
      </c>
      <c r="D96" t="n">
        <v>10</v>
      </c>
      <c r="Z96" t="n">
        <v>1</v>
      </c>
      <c r="AA96" t="n">
        <v>1</v>
      </c>
      <c r="AB96" t="n">
        <v>1</v>
      </c>
      <c r="AC96" t="n">
        <v>1</v>
      </c>
      <c r="AE96" t="n">
        <v>1</v>
      </c>
      <c r="AF96" t="n">
        <v>8</v>
      </c>
      <c r="AG96" t="inlineStr">
        <is>
          <t>retomado</t>
        </is>
      </c>
      <c r="AH96" t="inlineStr">
        <is>
          <t>retomado</t>
        </is>
      </c>
    </row>
    <row r="97">
      <c r="A97" t="inlineStr">
        <is>
          <t>Propiedades físicas de los materiales</t>
        </is>
      </c>
      <c r="B97" t="inlineStr">
        <is>
          <t>retomado</t>
        </is>
      </c>
      <c r="C97" t="n">
        <v>2</v>
      </c>
      <c r="D97" t="n">
        <v>10</v>
      </c>
      <c r="E97" t="n">
        <v>2</v>
      </c>
      <c r="F97" t="n">
        <v>8</v>
      </c>
      <c r="G97" t="n">
        <v>2</v>
      </c>
      <c r="I97" t="n">
        <v>9.5</v>
      </c>
      <c r="J97" t="n">
        <v>7</v>
      </c>
      <c r="L97" t="n">
        <v>9.5</v>
      </c>
      <c r="M97" t="n">
        <v>7</v>
      </c>
      <c r="O97" t="n">
        <v>1</v>
      </c>
      <c r="P97" t="n">
        <v>1</v>
      </c>
      <c r="R97" t="n">
        <v>1</v>
      </c>
      <c r="U97" t="n">
        <v>1</v>
      </c>
      <c r="W97" t="n">
        <v>1</v>
      </c>
      <c r="Y97" t="n">
        <v>1</v>
      </c>
      <c r="Z97" t="n">
        <v>1</v>
      </c>
      <c r="AC97" t="n">
        <v>1</v>
      </c>
      <c r="AD97" t="n">
        <v>1</v>
      </c>
      <c r="AE97" t="n">
        <v>1</v>
      </c>
      <c r="AF97" t="n">
        <v>2</v>
      </c>
      <c r="AG97" t="inlineStr">
        <is>
          <t>retomado</t>
        </is>
      </c>
      <c r="AH97" t="inlineStr">
        <is>
          <t>retomado</t>
        </is>
      </c>
    </row>
    <row r="98">
      <c r="A98" t="inlineStr">
        <is>
          <t>Propiedades físicas y químicas</t>
        </is>
      </c>
      <c r="B98" t="inlineStr">
        <is>
          <t>retomado</t>
        </is>
      </c>
      <c r="C98" t="n">
        <v>2</v>
      </c>
      <c r="D98" t="n">
        <v>9</v>
      </c>
      <c r="F98" t="n">
        <v>8</v>
      </c>
      <c r="G98" t="n">
        <v>6</v>
      </c>
      <c r="I98" t="n">
        <v>6</v>
      </c>
      <c r="J98" t="n">
        <v>7</v>
      </c>
      <c r="K98" t="n">
        <v>8</v>
      </c>
      <c r="L98" t="n">
        <v>9.5</v>
      </c>
      <c r="M98" t="n">
        <v>7</v>
      </c>
      <c r="O98" t="n">
        <v>1</v>
      </c>
      <c r="P98" t="n">
        <v>1</v>
      </c>
      <c r="R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2</v>
      </c>
      <c r="AG98" t="inlineStr">
        <is>
          <t>retomado</t>
        </is>
      </c>
      <c r="AH98" t="inlineStr">
        <is>
          <t>retomado</t>
        </is>
      </c>
    </row>
    <row r="99">
      <c r="A99" t="inlineStr">
        <is>
          <t>Propiedades periódicas</t>
        </is>
      </c>
      <c r="B99" t="inlineStr">
        <is>
          <t>retomado</t>
        </is>
      </c>
      <c r="C99" t="n">
        <v>5</v>
      </c>
      <c r="D99" t="n">
        <v>10</v>
      </c>
      <c r="E99" t="n">
        <v>9</v>
      </c>
      <c r="F99" t="n">
        <v>10.5</v>
      </c>
      <c r="G99" t="n">
        <v>6</v>
      </c>
      <c r="I99" t="n">
        <v>9.5</v>
      </c>
      <c r="J99" t="n">
        <v>9</v>
      </c>
      <c r="K99" t="n">
        <v>8</v>
      </c>
      <c r="L99" t="n">
        <v>9.5</v>
      </c>
      <c r="M99" t="n">
        <v>7</v>
      </c>
      <c r="N99" t="n">
        <v>1</v>
      </c>
      <c r="O99" t="n">
        <v>1</v>
      </c>
      <c r="P99" t="n">
        <v>1</v>
      </c>
      <c r="R99" t="n">
        <v>1</v>
      </c>
      <c r="S99" t="n">
        <v>1</v>
      </c>
      <c r="U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5</v>
      </c>
      <c r="AG99" t="inlineStr">
        <is>
          <t>retomado</t>
        </is>
      </c>
      <c r="AH99" t="inlineStr">
        <is>
          <t>retomado</t>
        </is>
      </c>
    </row>
    <row r="100">
      <c r="A100" t="inlineStr">
        <is>
          <t>Propiedades singulares del agua</t>
        </is>
      </c>
      <c r="B100" t="inlineStr">
        <is>
          <t>retomado</t>
        </is>
      </c>
      <c r="C100" t="n">
        <v>3</v>
      </c>
      <c r="D100" t="n">
        <v>9</v>
      </c>
      <c r="G100" t="n">
        <v>6</v>
      </c>
      <c r="I100" t="n">
        <v>3</v>
      </c>
      <c r="J100" t="n">
        <v>9</v>
      </c>
      <c r="L100" t="n">
        <v>11</v>
      </c>
      <c r="S100" t="n">
        <v>1</v>
      </c>
      <c r="U100" t="n">
        <v>1</v>
      </c>
      <c r="W100" t="n">
        <v>1</v>
      </c>
      <c r="Z100" t="n">
        <v>1</v>
      </c>
      <c r="AB100" t="n">
        <v>1</v>
      </c>
      <c r="AC100" t="n">
        <v>1</v>
      </c>
      <c r="AD100" t="n">
        <v>1</v>
      </c>
      <c r="AF100" t="n">
        <v>3</v>
      </c>
      <c r="AG100" t="inlineStr">
        <is>
          <t>retomado</t>
        </is>
      </c>
      <c r="AH100" t="inlineStr">
        <is>
          <t>retomado</t>
        </is>
      </c>
    </row>
    <row r="101">
      <c r="A101" t="inlineStr">
        <is>
          <t>Química descriptiva de los elementos</t>
        </is>
      </c>
      <c r="B101" t="inlineStr">
        <is>
          <t>retomado</t>
        </is>
      </c>
      <c r="C101" t="n">
        <v>5</v>
      </c>
      <c r="D101" t="n">
        <v>10</v>
      </c>
      <c r="F101" t="n">
        <v>8</v>
      </c>
      <c r="G101" t="n">
        <v>6</v>
      </c>
      <c r="I101" t="n">
        <v>9.5</v>
      </c>
      <c r="J101" t="n">
        <v>9</v>
      </c>
      <c r="L101" t="n">
        <v>9.5</v>
      </c>
      <c r="M101" t="n">
        <v>7</v>
      </c>
      <c r="O101" t="n">
        <v>1</v>
      </c>
      <c r="P101" t="n">
        <v>1</v>
      </c>
      <c r="R101" t="n">
        <v>1</v>
      </c>
      <c r="S101" t="n">
        <v>1</v>
      </c>
      <c r="U101" t="n">
        <v>1</v>
      </c>
      <c r="X101" t="n">
        <v>1</v>
      </c>
      <c r="Y101" t="n">
        <v>1</v>
      </c>
      <c r="Z101" t="n">
        <v>1</v>
      </c>
      <c r="AA101" t="n">
        <v>1</v>
      </c>
      <c r="AC101" t="n">
        <v>1</v>
      </c>
      <c r="AD101" t="n">
        <v>1</v>
      </c>
      <c r="AE101" t="n">
        <v>1</v>
      </c>
      <c r="AF101" t="n">
        <v>5</v>
      </c>
      <c r="AG101" t="inlineStr">
        <is>
          <t>retomado</t>
        </is>
      </c>
      <c r="AH101" t="inlineStr">
        <is>
          <t>retomado</t>
        </is>
      </c>
    </row>
    <row r="102">
      <c r="A102" t="inlineStr">
        <is>
          <t>Reacción química y sus evidencias</t>
        </is>
      </c>
      <c r="B102" t="inlineStr">
        <is>
          <t>retomado</t>
        </is>
      </c>
      <c r="C102" t="n">
        <v>2</v>
      </c>
      <c r="D102" t="n">
        <v>10</v>
      </c>
      <c r="E102" t="n">
        <v>5</v>
      </c>
      <c r="F102" t="n">
        <v>8</v>
      </c>
      <c r="G102" t="n">
        <v>3</v>
      </c>
      <c r="I102" t="n">
        <v>5</v>
      </c>
      <c r="J102" t="n">
        <v>7</v>
      </c>
      <c r="K102" t="n">
        <v>9</v>
      </c>
      <c r="L102" t="n">
        <v>9.5</v>
      </c>
      <c r="M102" t="n">
        <v>7</v>
      </c>
      <c r="O102" t="n">
        <v>1</v>
      </c>
      <c r="P102" t="n">
        <v>1</v>
      </c>
      <c r="R102" t="n">
        <v>1</v>
      </c>
      <c r="S102" t="n">
        <v>1</v>
      </c>
      <c r="T102" t="n">
        <v>1</v>
      </c>
      <c r="U102" t="n">
        <v>1</v>
      </c>
      <c r="W102" t="n">
        <v>1</v>
      </c>
      <c r="Y102" t="n">
        <v>1</v>
      </c>
      <c r="Z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2</v>
      </c>
      <c r="AG102" t="inlineStr">
        <is>
          <t>retomado</t>
        </is>
      </c>
      <c r="AH102" t="inlineStr">
        <is>
          <t>retomado</t>
        </is>
      </c>
    </row>
    <row r="103">
      <c r="A103" t="inlineStr">
        <is>
          <t>Métodos físicos de separación de mezclas</t>
        </is>
      </c>
      <c r="B103" t="inlineStr">
        <is>
          <t>retomado</t>
        </is>
      </c>
      <c r="C103" t="n">
        <v>2</v>
      </c>
      <c r="D103" t="n">
        <v>10</v>
      </c>
      <c r="E103" t="n">
        <v>6</v>
      </c>
      <c r="F103" t="n">
        <v>8</v>
      </c>
      <c r="G103" t="n">
        <v>3</v>
      </c>
      <c r="I103" t="n">
        <v>4</v>
      </c>
      <c r="J103" t="n">
        <v>7</v>
      </c>
      <c r="L103" t="n">
        <v>9.5</v>
      </c>
      <c r="M103" t="n">
        <v>7</v>
      </c>
      <c r="O103" t="n">
        <v>1</v>
      </c>
      <c r="P103" t="n">
        <v>1</v>
      </c>
      <c r="R103" t="n">
        <v>1</v>
      </c>
      <c r="U103" t="n">
        <v>1</v>
      </c>
      <c r="V103" t="n">
        <v>1</v>
      </c>
      <c r="W103" t="n">
        <v>1</v>
      </c>
      <c r="Y103" t="n">
        <v>1</v>
      </c>
      <c r="Z103" t="n">
        <v>1</v>
      </c>
      <c r="AC103" t="n">
        <v>1</v>
      </c>
      <c r="AD103" t="n">
        <v>1</v>
      </c>
      <c r="AE103" t="n">
        <v>1</v>
      </c>
      <c r="AF103" t="n">
        <v>2</v>
      </c>
      <c r="AG103" t="inlineStr">
        <is>
          <t>retomado</t>
        </is>
      </c>
      <c r="AH103" t="inlineStr">
        <is>
          <t>retomado</t>
        </is>
      </c>
    </row>
    <row r="104">
      <c r="A104" t="inlineStr">
        <is>
          <t>Sólidos cristalinos y amorfos</t>
        </is>
      </c>
      <c r="B104" t="inlineStr">
        <is>
          <t>retomado</t>
        </is>
      </c>
      <c r="C104" t="n">
        <v>8</v>
      </c>
      <c r="D104" t="n">
        <v>10</v>
      </c>
      <c r="L104" t="n">
        <v>11</v>
      </c>
      <c r="U104" t="n">
        <v>1</v>
      </c>
      <c r="W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F104" t="n">
        <v>8</v>
      </c>
      <c r="AG104" t="inlineStr">
        <is>
          <t>retomado</t>
        </is>
      </c>
      <c r="AH104" t="inlineStr">
        <is>
          <t>retomado</t>
        </is>
      </c>
    </row>
    <row r="105">
      <c r="A105" t="inlineStr">
        <is>
          <t>Solubilidad y disoluciones saturadas</t>
        </is>
      </c>
      <c r="B105" t="inlineStr">
        <is>
          <t>retomado</t>
        </is>
      </c>
      <c r="C105" t="n">
        <v>3</v>
      </c>
      <c r="D105" t="n">
        <v>10</v>
      </c>
      <c r="F105" t="n">
        <v>8</v>
      </c>
      <c r="G105" t="n">
        <v>3</v>
      </c>
      <c r="I105" t="n">
        <v>4</v>
      </c>
      <c r="J105" t="n">
        <v>7</v>
      </c>
      <c r="L105" t="n">
        <v>9.5</v>
      </c>
      <c r="M105" t="n">
        <v>9.5</v>
      </c>
      <c r="O105" t="n">
        <v>1</v>
      </c>
      <c r="R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C105" t="n">
        <v>1</v>
      </c>
      <c r="AD105" t="n">
        <v>1</v>
      </c>
      <c r="AE105" t="n">
        <v>1</v>
      </c>
      <c r="AF105" t="n">
        <v>3</v>
      </c>
      <c r="AG105" t="inlineStr">
        <is>
          <t>retomado</t>
        </is>
      </c>
      <c r="AH105" t="inlineStr">
        <is>
          <t>retomado</t>
        </is>
      </c>
    </row>
    <row r="106">
      <c r="A106" t="inlineStr">
        <is>
          <t>Sustancias puras: elementos y compuestos</t>
        </is>
      </c>
      <c r="B106" t="inlineStr">
        <is>
          <t>retomado</t>
        </is>
      </c>
      <c r="C106" t="n">
        <v>5</v>
      </c>
      <c r="D106" t="n">
        <v>9</v>
      </c>
      <c r="E106" t="n">
        <v>6</v>
      </c>
      <c r="F106" t="n">
        <v>8</v>
      </c>
      <c r="G106" t="n">
        <v>6</v>
      </c>
      <c r="I106" t="n">
        <v>7</v>
      </c>
      <c r="J106" t="n">
        <v>7</v>
      </c>
      <c r="K106" t="n">
        <v>8</v>
      </c>
      <c r="L106" t="n">
        <v>9.5</v>
      </c>
      <c r="M106" t="n">
        <v>7</v>
      </c>
      <c r="O106" t="n">
        <v>1</v>
      </c>
      <c r="P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Y106" t="n">
        <v>1</v>
      </c>
      <c r="Z106" t="n">
        <v>1</v>
      </c>
      <c r="AC106" t="n">
        <v>1</v>
      </c>
      <c r="AD106" t="n">
        <v>1</v>
      </c>
      <c r="AF106" t="n">
        <v>8</v>
      </c>
      <c r="AG106" t="inlineStr">
        <is>
          <t>retomado</t>
        </is>
      </c>
      <c r="AH106" t="inlineStr">
        <is>
          <t>retomado</t>
        </is>
      </c>
    </row>
    <row r="107">
      <c r="A107" t="inlineStr">
        <is>
          <t>Organización de la tabla periódica</t>
        </is>
      </c>
      <c r="B107" t="inlineStr">
        <is>
          <t>retomado</t>
        </is>
      </c>
      <c r="C107" t="n">
        <v>5</v>
      </c>
      <c r="D107" t="n">
        <v>10</v>
      </c>
      <c r="E107" t="n">
        <v>9</v>
      </c>
      <c r="F107" t="n">
        <v>8</v>
      </c>
      <c r="G107" t="n">
        <v>6</v>
      </c>
      <c r="I107" t="n">
        <v>9.5</v>
      </c>
      <c r="J107" t="n">
        <v>7</v>
      </c>
      <c r="K107" t="n">
        <v>8</v>
      </c>
      <c r="L107" t="n">
        <v>9.5</v>
      </c>
      <c r="M107" t="n">
        <v>7</v>
      </c>
      <c r="N107" t="n">
        <v>1</v>
      </c>
      <c r="O107" t="n">
        <v>1</v>
      </c>
      <c r="P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C107" t="n">
        <v>1</v>
      </c>
      <c r="AD107" t="n">
        <v>1</v>
      </c>
      <c r="AE107" t="n">
        <v>1</v>
      </c>
      <c r="AF107" t="n">
        <v>5</v>
      </c>
      <c r="AG107" t="inlineStr">
        <is>
          <t>retomado</t>
        </is>
      </c>
      <c r="AH107" t="inlineStr">
        <is>
          <t>retomado</t>
        </is>
      </c>
    </row>
    <row r="108">
      <c r="A108" t="inlineStr">
        <is>
          <t>Tipo de enlace y propiedades de las sustancias</t>
        </is>
      </c>
      <c r="B108" t="inlineStr">
        <is>
          <t>retomado</t>
        </is>
      </c>
      <c r="C108" t="n">
        <v>6</v>
      </c>
      <c r="D108" t="n">
        <v>10</v>
      </c>
      <c r="F108" t="n">
        <v>8</v>
      </c>
      <c r="G108" t="n">
        <v>8.5</v>
      </c>
      <c r="I108" t="n">
        <v>9.5</v>
      </c>
      <c r="J108" t="n">
        <v>9</v>
      </c>
      <c r="L108" t="n">
        <v>9.5</v>
      </c>
      <c r="M108" t="n">
        <v>7</v>
      </c>
      <c r="O108" t="n">
        <v>1</v>
      </c>
      <c r="P108" t="n">
        <v>1</v>
      </c>
      <c r="R108" t="n">
        <v>1</v>
      </c>
      <c r="S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6</v>
      </c>
      <c r="AG108" t="inlineStr">
        <is>
          <t>retomado</t>
        </is>
      </c>
      <c r="AH108" t="inlineStr">
        <is>
          <t>retomado</t>
        </is>
      </c>
    </row>
    <row r="109">
      <c r="A109" t="inlineStr">
        <is>
          <t>Clasificación de las reacciones químicas</t>
        </is>
      </c>
      <c r="B109" t="inlineStr">
        <is>
          <t>retomado</t>
        </is>
      </c>
      <c r="C109" t="n">
        <v>6</v>
      </c>
      <c r="D109" t="n">
        <v>10</v>
      </c>
      <c r="E109" t="n">
        <v>9</v>
      </c>
      <c r="F109" t="n">
        <v>8</v>
      </c>
      <c r="G109" t="n">
        <v>6</v>
      </c>
      <c r="I109" t="n">
        <v>7</v>
      </c>
      <c r="K109" t="n">
        <v>9</v>
      </c>
      <c r="L109" t="n">
        <v>9.5</v>
      </c>
      <c r="N109" t="n">
        <v>1</v>
      </c>
      <c r="O109" t="n">
        <v>1</v>
      </c>
      <c r="P109" t="n">
        <v>1</v>
      </c>
      <c r="T109" t="n">
        <v>1</v>
      </c>
      <c r="U109" t="n">
        <v>1</v>
      </c>
      <c r="W109" t="n">
        <v>1</v>
      </c>
      <c r="X109" t="n">
        <v>1</v>
      </c>
      <c r="Z109" t="n">
        <v>1</v>
      </c>
      <c r="AC109" t="n">
        <v>1</v>
      </c>
      <c r="AD109" t="n">
        <v>1</v>
      </c>
      <c r="AF109" t="n">
        <v>6</v>
      </c>
      <c r="AG109" t="inlineStr">
        <is>
          <t>retomado</t>
        </is>
      </c>
      <c r="AH109" t="inlineStr">
        <is>
          <t>retomado</t>
        </is>
      </c>
    </row>
    <row r="110">
      <c r="A110" t="inlineStr">
        <is>
          <t>Calidad y tratamiento del agua</t>
        </is>
      </c>
      <c r="B110" t="inlineStr">
        <is>
          <t>retomado</t>
        </is>
      </c>
      <c r="C110" t="n">
        <v>3</v>
      </c>
      <c r="D110" t="n">
        <v>10</v>
      </c>
      <c r="F110" t="n">
        <v>8</v>
      </c>
      <c r="G110" t="n">
        <v>8.5</v>
      </c>
      <c r="M110" t="n">
        <v>7</v>
      </c>
      <c r="O110" t="n">
        <v>1</v>
      </c>
      <c r="P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C110" t="n">
        <v>1</v>
      </c>
      <c r="AE110" t="n">
        <v>1</v>
      </c>
      <c r="AF110" t="n">
        <v>3</v>
      </c>
      <c r="AG110" t="inlineStr">
        <is>
          <t>retomado</t>
        </is>
      </c>
      <c r="AH110" t="inlineStr">
        <is>
          <t>retomado</t>
        </is>
      </c>
    </row>
    <row r="111">
      <c r="A111" t="inlineStr">
        <is>
          <t>Ecuación de Nernst</t>
        </is>
      </c>
      <c r="B111" t="inlineStr">
        <is>
          <t>sin_referente</t>
        </is>
      </c>
      <c r="C111" t="n">
        <v>10</v>
      </c>
      <c r="D111" t="n">
        <v>10</v>
      </c>
      <c r="AD111" t="n">
        <v>1</v>
      </c>
      <c r="AF111" t="n">
        <v>11</v>
      </c>
      <c r="AG111" t="inlineStr">
        <is>
          <t>sin_referente</t>
        </is>
      </c>
      <c r="AH111" t="inlineStr">
        <is>
          <t>sin_referente</t>
        </is>
      </c>
    </row>
    <row r="112">
      <c r="A112" t="inlineStr">
        <is>
          <t>Ecuaciones y reacciones nucleares</t>
        </is>
      </c>
      <c r="B112" t="inlineStr">
        <is>
          <t>sin_referente</t>
        </is>
      </c>
      <c r="C112" t="n">
        <v>10</v>
      </c>
      <c r="D112" t="n">
        <v>10</v>
      </c>
      <c r="G112" t="n">
        <v>8.5</v>
      </c>
      <c r="AC112" t="n">
        <v>1</v>
      </c>
      <c r="AF112" t="n">
        <v>10</v>
      </c>
      <c r="AG112" t="inlineStr">
        <is>
          <t>sin_referente</t>
        </is>
      </c>
      <c r="AH112" t="inlineStr">
        <is>
          <t>sin_referente</t>
        </is>
      </c>
    </row>
    <row r="113">
      <c r="A113" t="inlineStr">
        <is>
          <t>Energía reticular y ciclo de Born-Haber</t>
        </is>
      </c>
      <c r="B113" t="inlineStr">
        <is>
          <t>sin_referente</t>
        </is>
      </c>
      <c r="C113" t="n">
        <v>10</v>
      </c>
      <c r="D113" t="n">
        <v>10</v>
      </c>
      <c r="L113" t="n">
        <v>11</v>
      </c>
      <c r="U113" t="n">
        <v>1</v>
      </c>
      <c r="AD113" t="n">
        <v>1</v>
      </c>
      <c r="AF113" t="n">
        <v>10</v>
      </c>
      <c r="AG113" t="inlineStr">
        <is>
          <t>sin_referente</t>
        </is>
      </c>
      <c r="AH113" t="inlineStr">
        <is>
          <t>sin_referente</t>
        </is>
      </c>
    </row>
    <row r="114">
      <c r="A114" t="inlineStr">
        <is>
          <t>Leyes de los gases</t>
        </is>
      </c>
      <c r="B114" t="inlineStr">
        <is>
          <t>sin_referente</t>
        </is>
      </c>
      <c r="C114" t="n">
        <v>10</v>
      </c>
      <c r="D114" t="n">
        <v>10</v>
      </c>
      <c r="J114" t="n">
        <v>7</v>
      </c>
      <c r="M114" t="n">
        <v>9.5</v>
      </c>
      <c r="V114" t="n">
        <v>1</v>
      </c>
      <c r="W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10</v>
      </c>
      <c r="AG114" t="inlineStr">
        <is>
          <t>sin_referente</t>
        </is>
      </c>
      <c r="AH114" t="inlineStr">
        <is>
          <t>sin_referente</t>
        </is>
      </c>
    </row>
    <row r="115">
      <c r="A115" t="inlineStr">
        <is>
          <t>Constante de equilibrio</t>
        </is>
      </c>
      <c r="B115" t="inlineStr">
        <is>
          <t>solo_especializacion</t>
        </is>
      </c>
      <c r="C115" t="n">
        <v>9</v>
      </c>
      <c r="D115" t="n">
        <v>9</v>
      </c>
      <c r="L115" t="n">
        <v>11</v>
      </c>
      <c r="U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9</v>
      </c>
      <c r="AG115" t="inlineStr">
        <is>
          <t>solo_especializacion</t>
        </is>
      </c>
      <c r="AH115" t="inlineStr">
        <is>
          <t>solo_especializacion</t>
        </is>
      </c>
    </row>
    <row r="116">
      <c r="A116" t="inlineStr">
        <is>
          <t>Hidrólisis de sales y disoluciones amortiguadoras</t>
        </is>
      </c>
      <c r="B116" t="inlineStr">
        <is>
          <t>solo_especializacion</t>
        </is>
      </c>
      <c r="C116" t="n">
        <v>9</v>
      </c>
      <c r="D116" t="n">
        <v>9</v>
      </c>
      <c r="L116" t="n">
        <v>11</v>
      </c>
      <c r="U116" t="n">
        <v>1</v>
      </c>
      <c r="X116" t="n">
        <v>1</v>
      </c>
      <c r="Y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9</v>
      </c>
      <c r="AG116" t="inlineStr">
        <is>
          <t>solo_especializacion</t>
        </is>
      </c>
      <c r="AH116" t="inlineStr">
        <is>
          <t>solo_especializacion</t>
        </is>
      </c>
    </row>
    <row r="117">
      <c r="A117" t="inlineStr">
        <is>
          <t>Ecuación de los gases ideales y volumen molar</t>
        </is>
      </c>
      <c r="B117" t="inlineStr">
        <is>
          <t>solo_especializacion</t>
        </is>
      </c>
      <c r="C117" t="n">
        <v>10</v>
      </c>
      <c r="D117" t="n">
        <v>10</v>
      </c>
      <c r="F117" t="n">
        <v>8</v>
      </c>
      <c r="I117" t="n">
        <v>9.5</v>
      </c>
      <c r="L117" t="n">
        <v>9.5</v>
      </c>
      <c r="O117" t="n">
        <v>1</v>
      </c>
      <c r="R117" t="n">
        <v>1</v>
      </c>
      <c r="U117" t="n">
        <v>1</v>
      </c>
      <c r="W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10</v>
      </c>
      <c r="AG117" t="inlineStr">
        <is>
          <t>solo_especializacion</t>
        </is>
      </c>
      <c r="AH117" t="inlineStr">
        <is>
          <t>solo_especializacion</t>
        </is>
      </c>
    </row>
    <row r="118">
      <c r="A118" t="inlineStr">
        <is>
          <t>Energía de Gibbs y espontaneidad</t>
        </is>
      </c>
      <c r="B118" t="inlineStr">
        <is>
          <t>solo_especializacion</t>
        </is>
      </c>
      <c r="C118" t="n">
        <v>9</v>
      </c>
      <c r="D118" t="n">
        <v>9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D118" t="n">
        <v>1</v>
      </c>
      <c r="AF118" t="n">
        <v>10</v>
      </c>
      <c r="AG118" t="inlineStr">
        <is>
          <t>solo_especializacion</t>
        </is>
      </c>
      <c r="AH118" t="inlineStr">
        <is>
          <t>solo_especializacion</t>
        </is>
      </c>
    </row>
    <row r="119">
      <c r="A119" t="inlineStr">
        <is>
          <t>Teorías del enlace de valencia y de orbitales moleculares</t>
        </is>
      </c>
      <c r="B119" t="inlineStr">
        <is>
          <t>solo_especializacion</t>
        </is>
      </c>
      <c r="C119" t="n">
        <v>10</v>
      </c>
      <c r="D119" t="n">
        <v>10</v>
      </c>
      <c r="L119" t="n">
        <v>11</v>
      </c>
      <c r="U119" t="n">
        <v>1</v>
      </c>
      <c r="X119" t="n">
        <v>1</v>
      </c>
      <c r="AD119" t="n">
        <v>1</v>
      </c>
      <c r="AE119" t="n">
        <v>1</v>
      </c>
      <c r="AF119" t="n">
        <v>10</v>
      </c>
      <c r="AG119" t="inlineStr">
        <is>
          <t>solo_especializacion</t>
        </is>
      </c>
      <c r="AH119" t="inlineStr">
        <is>
          <t>solo_especializacion</t>
        </is>
      </c>
    </row>
    <row r="120">
      <c r="A120" t="inlineStr">
        <is>
          <t>Entropía</t>
        </is>
      </c>
      <c r="B120" t="inlineStr">
        <is>
          <t>solo_especializacion</t>
        </is>
      </c>
      <c r="C120" t="n">
        <v>10</v>
      </c>
      <c r="D120" t="n">
        <v>10</v>
      </c>
      <c r="X120" t="n">
        <v>1</v>
      </c>
      <c r="Y120" t="n">
        <v>1</v>
      </c>
      <c r="AB120" t="n">
        <v>1</v>
      </c>
      <c r="AD120" t="n">
        <v>1</v>
      </c>
      <c r="AF120" t="n">
        <v>10</v>
      </c>
      <c r="AG120" t="inlineStr">
        <is>
          <t>solo_especializacion</t>
        </is>
      </c>
      <c r="AH120" t="inlineStr">
        <is>
          <t>solo_especializacion</t>
        </is>
      </c>
    </row>
    <row r="121">
      <c r="A121" t="inlineStr">
        <is>
          <t>Relación entre energía de Gibbs y constante de equilibrio</t>
        </is>
      </c>
      <c r="B121" t="inlineStr">
        <is>
          <t>solo_especializacion</t>
        </is>
      </c>
      <c r="C121" t="n">
        <v>10</v>
      </c>
      <c r="D121" t="n">
        <v>10</v>
      </c>
      <c r="Y121" t="n">
        <v>1</v>
      </c>
      <c r="Z121" t="n">
        <v>1</v>
      </c>
      <c r="AD121" t="n">
        <v>1</v>
      </c>
      <c r="AF121" t="n">
        <v>10</v>
      </c>
      <c r="AG121" t="inlineStr">
        <is>
          <t>solo_especializacion</t>
        </is>
      </c>
      <c r="AH121" t="inlineStr">
        <is>
          <t>solo_especializacion</t>
        </is>
      </c>
    </row>
    <row r="122">
      <c r="A122" t="inlineStr">
        <is>
          <t>Espectros atómicos y modelo de Bohr</t>
        </is>
      </c>
      <c r="B122" t="inlineStr">
        <is>
          <t>solo_especializacion</t>
        </is>
      </c>
      <c r="C122" t="n">
        <v>10</v>
      </c>
      <c r="D122" t="n">
        <v>10</v>
      </c>
      <c r="I122" t="n">
        <v>9.5</v>
      </c>
      <c r="R122" t="n">
        <v>1</v>
      </c>
      <c r="W122" t="n">
        <v>1</v>
      </c>
      <c r="Y122" t="n">
        <v>1</v>
      </c>
      <c r="Z122" t="n">
        <v>1</v>
      </c>
      <c r="AC122" t="n">
        <v>1</v>
      </c>
      <c r="AD122" t="n">
        <v>1</v>
      </c>
      <c r="AE122" t="n">
        <v>1</v>
      </c>
      <c r="AF122" t="n">
        <v>10</v>
      </c>
      <c r="AG122" t="inlineStr">
        <is>
          <t>solo_especializacion</t>
        </is>
      </c>
      <c r="AH122" t="inlineStr">
        <is>
          <t>solo_especializacion</t>
        </is>
      </c>
    </row>
    <row r="123">
      <c r="A123" t="inlineStr">
        <is>
          <t>Estereoquímica y quiralidad</t>
        </is>
      </c>
      <c r="B123" t="inlineStr">
        <is>
          <t>solo_especializacion</t>
        </is>
      </c>
      <c r="C123" t="n">
        <v>10</v>
      </c>
      <c r="D123" t="n">
        <v>10</v>
      </c>
      <c r="L123" t="n">
        <v>11</v>
      </c>
      <c r="M123" t="n">
        <v>7</v>
      </c>
      <c r="U123" t="n">
        <v>1</v>
      </c>
      <c r="X123" t="n">
        <v>1</v>
      </c>
      <c r="Y123" t="n">
        <v>1</v>
      </c>
      <c r="Z123" t="n">
        <v>1</v>
      </c>
      <c r="AA123" t="n">
        <v>1</v>
      </c>
      <c r="AC123" t="n">
        <v>1</v>
      </c>
      <c r="AD123" t="n">
        <v>1</v>
      </c>
      <c r="AE123" t="n">
        <v>1</v>
      </c>
      <c r="AF123" t="n">
        <v>11</v>
      </c>
      <c r="AG123" t="inlineStr">
        <is>
          <t>solo_especializacion</t>
        </is>
      </c>
      <c r="AH123" t="inlineStr">
        <is>
          <t>solo_especializacion</t>
        </is>
      </c>
    </row>
    <row r="124">
      <c r="A124" t="inlineStr">
        <is>
          <t>Estructura y propiedades de los polímeros</t>
        </is>
      </c>
      <c r="B124" t="inlineStr">
        <is>
          <t>solo_especializacion</t>
        </is>
      </c>
      <c r="C124" t="n">
        <v>11</v>
      </c>
      <c r="D124" t="n">
        <v>11</v>
      </c>
      <c r="G124" t="n">
        <v>6</v>
      </c>
      <c r="I124" t="n">
        <v>9.5</v>
      </c>
      <c r="L124" t="n">
        <v>9.5</v>
      </c>
      <c r="M124" t="n">
        <v>7</v>
      </c>
      <c r="R124" t="n">
        <v>1</v>
      </c>
      <c r="U124" t="n">
        <v>1</v>
      </c>
      <c r="W124" t="n">
        <v>1</v>
      </c>
      <c r="Y124" t="n">
        <v>1</v>
      </c>
      <c r="Z124" t="n">
        <v>1</v>
      </c>
      <c r="AA124" t="n">
        <v>1</v>
      </c>
      <c r="AD124" t="n">
        <v>1</v>
      </c>
      <c r="AE124" t="n">
        <v>1</v>
      </c>
      <c r="AF124" t="n">
        <v>11</v>
      </c>
      <c r="AG124" t="inlineStr">
        <is>
          <t>solo_especializacion</t>
        </is>
      </c>
      <c r="AH124" t="inlineStr">
        <is>
          <t>solo_especializacion</t>
        </is>
      </c>
    </row>
    <row r="125">
      <c r="A125" t="inlineStr">
        <is>
          <t>Hibridación de orbitales</t>
        </is>
      </c>
      <c r="B125" t="inlineStr">
        <is>
          <t>solo_especializacion</t>
        </is>
      </c>
      <c r="C125" t="n">
        <v>10</v>
      </c>
      <c r="D125" t="n">
        <v>10</v>
      </c>
      <c r="L125" t="n">
        <v>11</v>
      </c>
      <c r="U125" t="n">
        <v>1</v>
      </c>
      <c r="X125" t="n">
        <v>1</v>
      </c>
      <c r="Y125" t="n">
        <v>1</v>
      </c>
      <c r="Z125" t="n">
        <v>1</v>
      </c>
      <c r="AD125" t="n">
        <v>1</v>
      </c>
      <c r="AE125" t="n">
        <v>1</v>
      </c>
      <c r="AF125" t="n">
        <v>10</v>
      </c>
      <c r="AG125" t="inlineStr">
        <is>
          <t>solo_especializacion</t>
        </is>
      </c>
      <c r="AH125" t="inlineStr">
        <is>
          <t>solo_especializacion</t>
        </is>
      </c>
    </row>
    <row r="126">
      <c r="A126" t="inlineStr">
        <is>
          <t>Hidrocarburos aromáticos</t>
        </is>
      </c>
      <c r="B126" t="inlineStr">
        <is>
          <t>solo_especializacion</t>
        </is>
      </c>
      <c r="C126" t="n">
        <v>11</v>
      </c>
      <c r="D126" t="n">
        <v>11</v>
      </c>
      <c r="F126" t="n">
        <v>10.5</v>
      </c>
      <c r="G126" t="n">
        <v>8.5</v>
      </c>
      <c r="L126" t="n">
        <v>11</v>
      </c>
      <c r="O126" t="n">
        <v>1</v>
      </c>
      <c r="P126" t="n">
        <v>1</v>
      </c>
      <c r="U126" t="n">
        <v>1</v>
      </c>
      <c r="X126" t="n">
        <v>1</v>
      </c>
      <c r="Y126" t="n">
        <v>1</v>
      </c>
      <c r="Z126" t="n">
        <v>1</v>
      </c>
      <c r="AA126" t="n">
        <v>1</v>
      </c>
      <c r="AD126" t="n">
        <v>1</v>
      </c>
      <c r="AF126" t="n">
        <v>11</v>
      </c>
      <c r="AG126" t="inlineStr">
        <is>
          <t>solo_especializacion</t>
        </is>
      </c>
      <c r="AH126" t="inlineStr">
        <is>
          <t>solo_especializacion</t>
        </is>
      </c>
    </row>
    <row r="127">
      <c r="A127" t="inlineStr">
        <is>
          <t>Indicadores ácido-base</t>
        </is>
      </c>
      <c r="B127" t="inlineStr">
        <is>
          <t>solo_especializacion</t>
        </is>
      </c>
      <c r="C127" t="n">
        <v>9</v>
      </c>
      <c r="D127" t="n">
        <v>9</v>
      </c>
      <c r="F127" t="n">
        <v>8</v>
      </c>
      <c r="G127" t="n">
        <v>6</v>
      </c>
      <c r="I127" t="n">
        <v>5</v>
      </c>
      <c r="J127" t="n">
        <v>9</v>
      </c>
      <c r="K127" t="n">
        <v>9</v>
      </c>
      <c r="L127" t="n">
        <v>9.5</v>
      </c>
      <c r="M127" t="n">
        <v>7</v>
      </c>
      <c r="O127" t="n">
        <v>1</v>
      </c>
      <c r="S127" t="n">
        <v>1</v>
      </c>
      <c r="T127" t="n">
        <v>1</v>
      </c>
      <c r="U127" t="n">
        <v>1</v>
      </c>
      <c r="W127" t="n">
        <v>1</v>
      </c>
      <c r="Y127" t="n">
        <v>1</v>
      </c>
      <c r="Z127" t="n">
        <v>1</v>
      </c>
      <c r="AC127" t="n">
        <v>1</v>
      </c>
      <c r="AD127" t="n">
        <v>1</v>
      </c>
      <c r="AE127" t="n">
        <v>1</v>
      </c>
      <c r="AF127" t="n">
        <v>9</v>
      </c>
      <c r="AG127" t="inlineStr">
        <is>
          <t>solo_especializacion</t>
        </is>
      </c>
      <c r="AH127" t="inlineStr">
        <is>
          <t>solo_especializacion</t>
        </is>
      </c>
    </row>
    <row r="128">
      <c r="A128" t="inlineStr">
        <is>
          <t>Ley de Hess y entalpías de formación</t>
        </is>
      </c>
      <c r="B128" t="inlineStr">
        <is>
          <t>solo_especializacion</t>
        </is>
      </c>
      <c r="C128" t="n">
        <v>10</v>
      </c>
      <c r="D128" t="n">
        <v>10</v>
      </c>
      <c r="G128" t="n">
        <v>8.5</v>
      </c>
      <c r="L128" t="n">
        <v>11</v>
      </c>
      <c r="M128" t="n">
        <v>9.5</v>
      </c>
      <c r="P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10</v>
      </c>
      <c r="AG128" t="inlineStr">
        <is>
          <t>solo_especializacion</t>
        </is>
      </c>
      <c r="AH128" t="inlineStr">
        <is>
          <t>solo_especializacion</t>
        </is>
      </c>
    </row>
    <row r="129">
      <c r="A129" t="inlineStr">
        <is>
          <t>Ley de velocidad, orden de reacción y ecuación de Arrhenius</t>
        </is>
      </c>
      <c r="B129" t="inlineStr">
        <is>
          <t>solo_especializacion</t>
        </is>
      </c>
      <c r="C129" t="n">
        <v>9</v>
      </c>
      <c r="D129" t="n">
        <v>9</v>
      </c>
      <c r="L129" t="n">
        <v>11</v>
      </c>
      <c r="U129" t="n">
        <v>1</v>
      </c>
      <c r="X129" t="n">
        <v>1</v>
      </c>
      <c r="Y129" t="n">
        <v>1</v>
      </c>
      <c r="Z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10</v>
      </c>
      <c r="AG129" t="inlineStr">
        <is>
          <t>solo_especializacion</t>
        </is>
      </c>
      <c r="AH129" t="inlineStr">
        <is>
          <t>solo_especializacion</t>
        </is>
      </c>
    </row>
    <row r="130">
      <c r="A130" t="inlineStr">
        <is>
          <t>Mecanismos de reacción</t>
        </is>
      </c>
      <c r="B130" t="inlineStr">
        <is>
          <t>solo_especializacion</t>
        </is>
      </c>
      <c r="C130" t="n">
        <v>10</v>
      </c>
      <c r="D130" t="n">
        <v>10</v>
      </c>
      <c r="X130" t="n">
        <v>1</v>
      </c>
      <c r="Y130" t="n">
        <v>1</v>
      </c>
      <c r="Z130" t="n">
        <v>1</v>
      </c>
      <c r="AC130" t="n">
        <v>1</v>
      </c>
      <c r="AD130" t="n">
        <v>1</v>
      </c>
      <c r="AF130" t="n">
        <v>10</v>
      </c>
      <c r="AG130" t="inlineStr">
        <is>
          <t>solo_especializacion</t>
        </is>
      </c>
      <c r="AH130" t="inlineStr">
        <is>
          <t>solo_especializacion</t>
        </is>
      </c>
    </row>
    <row r="131">
      <c r="A131" t="inlineStr">
        <is>
          <t>Nanomateriales y manufactura molecular</t>
        </is>
      </c>
      <c r="B131" t="inlineStr">
        <is>
          <t>solo_especializacion</t>
        </is>
      </c>
      <c r="C131" t="n">
        <v>11</v>
      </c>
      <c r="D131" t="n">
        <v>11</v>
      </c>
      <c r="G131" t="n">
        <v>8.5</v>
      </c>
      <c r="W131" t="n">
        <v>1</v>
      </c>
      <c r="Y131" t="n">
        <v>1</v>
      </c>
      <c r="Z131" t="n">
        <v>1</v>
      </c>
      <c r="AE131" t="n">
        <v>1</v>
      </c>
      <c r="AF131" t="n">
        <v>11</v>
      </c>
      <c r="AG131" t="inlineStr">
        <is>
          <t>solo_especializacion</t>
        </is>
      </c>
      <c r="AH131" t="inlineStr">
        <is>
          <t>solo_especializacion</t>
        </is>
      </c>
    </row>
    <row r="132">
      <c r="A132" t="inlineStr">
        <is>
          <t>Polimerización por adición y por condensación</t>
        </is>
      </c>
      <c r="B132" t="inlineStr">
        <is>
          <t>solo_especializacion</t>
        </is>
      </c>
      <c r="C132" t="n">
        <v>11</v>
      </c>
      <c r="D132" t="n">
        <v>11</v>
      </c>
      <c r="F132" t="n">
        <v>10.5</v>
      </c>
      <c r="L132" t="n">
        <v>9.5</v>
      </c>
      <c r="O132" t="n">
        <v>1</v>
      </c>
      <c r="U132" t="n">
        <v>1</v>
      </c>
      <c r="W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11</v>
      </c>
      <c r="AG132" t="inlineStr">
        <is>
          <t>solo_especializacion</t>
        </is>
      </c>
      <c r="AH132" t="inlineStr">
        <is>
          <t>solo_especializacion</t>
        </is>
      </c>
    </row>
    <row r="133">
      <c r="A133" t="inlineStr">
        <is>
          <t>Potenciales estándar de electrodo y de celda</t>
        </is>
      </c>
      <c r="B133" t="inlineStr">
        <is>
          <t>solo_especializacion</t>
        </is>
      </c>
      <c r="C133" t="n">
        <v>10</v>
      </c>
      <c r="D133" t="n">
        <v>10</v>
      </c>
      <c r="F133" t="n">
        <v>8</v>
      </c>
      <c r="G133" t="n">
        <v>8.5</v>
      </c>
      <c r="I133" t="n">
        <v>9.5</v>
      </c>
      <c r="O133" t="n">
        <v>1</v>
      </c>
      <c r="P133" t="n">
        <v>1</v>
      </c>
      <c r="R133" t="n">
        <v>1</v>
      </c>
      <c r="W133" t="n">
        <v>1</v>
      </c>
      <c r="X133" t="n">
        <v>1</v>
      </c>
      <c r="Y133" t="n">
        <v>1</v>
      </c>
      <c r="Z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11</v>
      </c>
      <c r="AG133" t="inlineStr">
        <is>
          <t>solo_especializacion</t>
        </is>
      </c>
      <c r="AH133" t="inlineStr">
        <is>
          <t>solo_especializacion</t>
        </is>
      </c>
    </row>
    <row r="134">
      <c r="A134" t="inlineStr">
        <is>
          <t>Producto de solubilidad (Kps)</t>
        </is>
      </c>
      <c r="B134" t="inlineStr">
        <is>
          <t>solo_especializacion</t>
        </is>
      </c>
      <c r="C134" t="n">
        <v>10</v>
      </c>
      <c r="D134" t="n">
        <v>10</v>
      </c>
      <c r="X134" t="n">
        <v>1</v>
      </c>
      <c r="AC134" t="n">
        <v>1</v>
      </c>
      <c r="AD134" t="n">
        <v>1</v>
      </c>
      <c r="AE134" t="n">
        <v>1</v>
      </c>
      <c r="AF134" t="n">
        <v>11</v>
      </c>
      <c r="AG134" t="inlineStr">
        <is>
          <t>solo_especializacion</t>
        </is>
      </c>
      <c r="AH134" t="inlineStr">
        <is>
          <t>solo_especializacion</t>
        </is>
      </c>
    </row>
    <row r="135">
      <c r="A135" t="inlineStr">
        <is>
          <t>Química de los ácidos nucleicos</t>
        </is>
      </c>
      <c r="B135" t="inlineStr">
        <is>
          <t>solo_especializacion</t>
        </is>
      </c>
      <c r="C135" t="n">
        <v>10</v>
      </c>
      <c r="D135" t="n">
        <v>10</v>
      </c>
      <c r="Y135" t="n">
        <v>1</v>
      </c>
      <c r="Z135" t="n">
        <v>1</v>
      </c>
      <c r="AA135" t="n">
        <v>1</v>
      </c>
      <c r="AB135" t="n">
        <v>1</v>
      </c>
      <c r="AF135" t="n">
        <v>10</v>
      </c>
      <c r="AG135" t="inlineStr">
        <is>
          <t>solo_especializacion</t>
        </is>
      </c>
      <c r="AH135" t="inlineStr">
        <is>
          <t>solo_especializacion</t>
        </is>
      </c>
    </row>
    <row r="136">
      <c r="A136" t="inlineStr">
        <is>
          <t>Reacciones orgánicas características</t>
        </is>
      </c>
      <c r="B136" t="inlineStr">
        <is>
          <t>solo_especializacion</t>
        </is>
      </c>
      <c r="C136" t="n">
        <v>11</v>
      </c>
      <c r="D136" t="n">
        <v>11</v>
      </c>
      <c r="F136" t="n">
        <v>10.5</v>
      </c>
      <c r="L136" t="n">
        <v>9.5</v>
      </c>
      <c r="M136" t="n">
        <v>7</v>
      </c>
      <c r="O136" t="n">
        <v>1</v>
      </c>
      <c r="U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11</v>
      </c>
      <c r="AG136" t="inlineStr">
        <is>
          <t>solo_especializacion</t>
        </is>
      </c>
      <c r="AH136" t="inlineStr">
        <is>
          <t>solo_especializacion</t>
        </is>
      </c>
    </row>
    <row r="137">
      <c r="A137" t="inlineStr">
        <is>
          <t>Reactivo limitante y en exceso</t>
        </is>
      </c>
      <c r="B137" t="inlineStr">
        <is>
          <t>solo_especializacion</t>
        </is>
      </c>
      <c r="C137" t="n">
        <v>10</v>
      </c>
      <c r="D137" t="n">
        <v>10</v>
      </c>
      <c r="F137" t="n">
        <v>10.5</v>
      </c>
      <c r="G137" t="n">
        <v>8.5</v>
      </c>
      <c r="L137" t="n">
        <v>9.5</v>
      </c>
      <c r="O137" t="n">
        <v>1</v>
      </c>
      <c r="P137" t="n">
        <v>1</v>
      </c>
      <c r="U137" t="n">
        <v>1</v>
      </c>
      <c r="Y137" t="n">
        <v>1</v>
      </c>
      <c r="Z137" t="n">
        <v>1</v>
      </c>
      <c r="AC137" t="n">
        <v>1</v>
      </c>
      <c r="AD137" t="n">
        <v>1</v>
      </c>
      <c r="AE137" t="n">
        <v>1</v>
      </c>
      <c r="AF137" t="n">
        <v>10</v>
      </c>
      <c r="AG137" t="inlineStr">
        <is>
          <t>solo_especializacion</t>
        </is>
      </c>
      <c r="AH137" t="inlineStr">
        <is>
          <t>solo_especializacion</t>
        </is>
      </c>
    </row>
    <row r="138">
      <c r="A138" t="inlineStr">
        <is>
          <t>Resonancia y carga formal</t>
        </is>
      </c>
      <c r="B138" t="inlineStr">
        <is>
          <t>solo_especializacion</t>
        </is>
      </c>
      <c r="C138" t="n">
        <v>10</v>
      </c>
      <c r="D138" t="n">
        <v>10</v>
      </c>
      <c r="X138" t="n">
        <v>1</v>
      </c>
      <c r="Y138" t="n">
        <v>1</v>
      </c>
      <c r="AA138" t="n">
        <v>1</v>
      </c>
      <c r="AD138" t="n">
        <v>1</v>
      </c>
      <c r="AF138" t="n">
        <v>10</v>
      </c>
      <c r="AG138" t="inlineStr">
        <is>
          <t>solo_especializacion</t>
        </is>
      </c>
      <c r="AH138" t="inlineStr">
        <is>
          <t>solo_especializacion</t>
        </is>
      </c>
    </row>
    <row r="139">
      <c r="A139" t="inlineStr">
        <is>
          <t>Síntesis química y rutas de reacción</t>
        </is>
      </c>
      <c r="B139" t="inlineStr">
        <is>
          <t>solo_especializacion</t>
        </is>
      </c>
      <c r="C139" t="n">
        <v>10</v>
      </c>
      <c r="D139" t="n">
        <v>10</v>
      </c>
      <c r="F139" t="n">
        <v>10.5</v>
      </c>
      <c r="L139" t="n">
        <v>11</v>
      </c>
      <c r="O139" t="n">
        <v>1</v>
      </c>
      <c r="U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10</v>
      </c>
      <c r="AG139" t="inlineStr">
        <is>
          <t>solo_especializacion</t>
        </is>
      </c>
      <c r="AH139" t="inlineStr">
        <is>
          <t>solo_especializacion</t>
        </is>
      </c>
    </row>
    <row r="140">
      <c r="A140" t="inlineStr">
        <is>
          <t>Valoración ácido-base</t>
        </is>
      </c>
      <c r="B140" t="inlineStr">
        <is>
          <t>solo_especializacion</t>
        </is>
      </c>
      <c r="C140" t="n">
        <v>9</v>
      </c>
      <c r="D140" t="n">
        <v>9</v>
      </c>
      <c r="I140" t="n">
        <v>9.5</v>
      </c>
      <c r="L140" t="n">
        <v>9.5</v>
      </c>
      <c r="R140" t="n">
        <v>1</v>
      </c>
      <c r="U140" t="n">
        <v>1</v>
      </c>
      <c r="W140" t="n">
        <v>1</v>
      </c>
      <c r="Y140" t="n">
        <v>1</v>
      </c>
      <c r="Z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9</v>
      </c>
      <c r="AG140" t="inlineStr">
        <is>
          <t>solo_especializacion</t>
        </is>
      </c>
      <c r="AH140" t="inlineStr">
        <is>
          <t>solo_especializacion</t>
        </is>
      </c>
    </row>
    <row r="141">
      <c r="A141" t="inlineStr">
        <is>
          <t>Medición de la velocidad de reacción</t>
        </is>
      </c>
      <c r="B141" t="inlineStr">
        <is>
          <t>solo_especializacion</t>
        </is>
      </c>
      <c r="C141" t="n">
        <v>10</v>
      </c>
      <c r="D141" t="n">
        <v>10</v>
      </c>
      <c r="G141" t="n">
        <v>8.5</v>
      </c>
      <c r="L141" t="n">
        <v>9.5</v>
      </c>
      <c r="P141" t="n">
        <v>1</v>
      </c>
      <c r="U141" t="n">
        <v>1</v>
      </c>
      <c r="W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F141" t="n">
        <v>10</v>
      </c>
      <c r="AG141" t="inlineStr">
        <is>
          <t>solo_especializacion</t>
        </is>
      </c>
      <c r="AH141" t="inlineStr">
        <is>
          <t>solo_especializacion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9-11</t>
        </is>
      </c>
      <c r="H1" s="1" t="inlineStr">
        <is>
          <t>Paises con nucleo en 9-11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SV",""),IF(G2="",IF(H2&gt;=5,"no retomado en 9-11","previo"),IF(B2&lt;9,"retomado",IF(AND(C2&lt;=1,E2&gt;=3),"solo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SV",""),IF(G3="",IF(H3&gt;=5,"no retomado en 9-11","previo"),IF(B3&lt;9,"retomado",IF(AND(C3&lt;=1,E3&gt;=3),"solo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SV",""),IF(G4="",IF(H4&gt;=5,"no retomado en 9-11","previo"),IF(B4&lt;9,"retomado",IF(AND(C4&lt;=1,E4&gt;=3),"solo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SV",""),IF(G5="",IF(H5&gt;=5,"no retomado en 9-11","previo"),IF(B5&lt;9,"retomado",IF(AND(C5&lt;=1,E5&gt;=3),"solo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SV",""),IF(G6="",IF(H6&gt;=5,"no retomado en 9-11","previo"),IF(B6&lt;9,"retomado",IF(AND(C6&lt;=1,E6&gt;=3),"solo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SV",""),IF(G7="",IF(H7&gt;=5,"no retomado en 9-11","previo"),IF(B7&lt;9,"retomado",IF(AND(C7&lt;=1,E7&gt;=3),"solo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SV",""),IF(G8="",IF(H8&gt;=5,"no retomado en 9-11","previo"),IF(B8&lt;9,"retomado",IF(AND(C8&lt;=1,E8&gt;=3),"solo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SV",""),IF(G9="",IF(H9&gt;=5,"no retomado en 9-11","previo"),IF(B9&lt;9,"retomado",IF(AND(C9&lt;=1,E9&gt;=3),"solo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SV",""),IF(G10="",IF(H10&gt;=5,"no retomado en 9-11","previo"),IF(B10&lt;9,"retomado",IF(AND(C10&lt;=1,E10&gt;=3),"solo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SV",""),IF(G11="",IF(H11&gt;=5,"no retomado en 9-11","previo"),IF(B11&lt;9,"retomado",IF(AND(C11&lt;=1,E11&gt;=3),"solo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SV",""),IF(G12="",IF(H12&gt;=5,"no retomado en 9-11","previo"),IF(B12&lt;9,"retomado",IF(AND(C12&lt;=1,E12&gt;=3),"solo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SV",""),IF(G13="",IF(H13&gt;=5,"no retomado en 9-11","previo"),IF(B13&lt;9,"retomado",IF(AND(C13&lt;=1,E13&gt;=3),"solo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SV",""),IF(G14="",IF(H14&gt;=5,"no retomado en 9-11","previo"),IF(B14&lt;9,"retomado",IF(AND(C14&lt;=1,E14&gt;=3),"solo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SV",""),IF(G15="",IF(H15&gt;=5,"no retomado en 9-11","previo"),IF(B15&lt;9,"retomado",IF(AND(C15&lt;=1,E15&gt;=3),"solo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SV",""),IF(G16="",IF(H16&gt;=5,"no retomado en 9-11","previo"),IF(B16&lt;9,"retomado",IF(AND(C16&lt;=1,E16&gt;=3),"solo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SV",""),IF(G17="",IF(H17&gt;=5,"no retomado en 9-11","previo"),IF(B17&lt;9,"retomado",IF(AND(C17&lt;=1,E17&gt;=3),"solo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SV",""),IF(G18="",IF(H18&gt;=5,"no retomado en 9-11","previo"),IF(B18&lt;9,"retomado",IF(AND(C18&lt;=1,E18&gt;=3),"solo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SV",""),IF(G19="",IF(H19&gt;=5,"no retomado en 9-11","previo"),IF(B19&lt;9,"retomado",IF(AND(C19&lt;=1,E19&gt;=3),"solo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SV",""),IF(G20="",IF(H20&gt;=5,"no retomado en 9-11","previo"),IF(B20&lt;9,"retomado",IF(AND(C20&lt;=1,E20&gt;=3),"solo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SV",""),IF(G21="",IF(H21&gt;=5,"no retomado en 9-11","previo"),IF(B21&lt;9,"retomado",IF(AND(C21&lt;=1,E21&gt;=3),"solo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SV",""),IF(G22="",IF(H22&gt;=5,"no retomado en 9-11","previo"),IF(B22&lt;9,"retomado",IF(AND(C22&lt;=1,E22&gt;=3),"solo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SV",""),IF(G23="",IF(H23&gt;=5,"no retomado en 9-11","previo"),IF(B23&lt;9,"retomado",IF(AND(C23&lt;=1,E23&gt;=3),"solo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SV",""),IF(G24="",IF(H24&gt;=5,"no retomado en 9-11","previo"),IF(B24&lt;9,"retomado",IF(AND(C24&lt;=1,E24&gt;=3),"solo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SV",""),IF(G25="",IF(H25&gt;=5,"no retomado en 9-11","previo"),IF(B25&lt;9,"retomado",IF(AND(C25&lt;=1,E25&gt;=3),"solo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SV",""),IF(G26="",IF(H26&gt;=5,"no retomado en 9-11","previo"),IF(B26&lt;9,"retomado",IF(AND(C26&lt;=1,E26&gt;=3),"solo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SV",""),IF(G27="",IF(H27&gt;=5,"no retomado en 9-11","previo"),IF(B27&lt;9,"retomado",IF(AND(C27&lt;=1,E27&gt;=3),"solo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SV",""),IF(G28="",IF(H28&gt;=5,"no retomado en 9-11","previo"),IF(B28&lt;9,"retomado",IF(AND(C28&lt;=1,E28&gt;=3),"solo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SV",""),IF(G29="",IF(H29&gt;=5,"no retomado en 9-11","previo"),IF(B29&lt;9,"retomado",IF(AND(C29&lt;=1,E29&gt;=3),"solo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SV",""),IF(G30="",IF(H30&gt;=5,"no retomado en 9-11","previo"),IF(B30&lt;9,"retomado",IF(AND(C30&lt;=1,E30&gt;=3),"solo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SV",""),IF(G31="",IF(H31&gt;=5,"no retomado en 9-11","previo"),IF(B31&lt;9,"retomado",IF(AND(C31&lt;=1,E31&gt;=3),"solo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SV",""),IF(G32="",IF(H32&gt;=5,"no retomado en 9-11","previo"),IF(B32&lt;9,"retomado",IF(AND(C32&lt;=1,E32&gt;=3),"solo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SV",""),IF(G33="",IF(H33&gt;=5,"no retomado en 9-11","previo"),IF(B33&lt;9,"retomado",IF(AND(C33&lt;=1,E33&gt;=3),"solo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SV",""),IF(G34="",IF(H34&gt;=5,"no retomado en 9-11","previo"),IF(B34&lt;9,"retomado",IF(AND(C34&lt;=1,E34&gt;=3),"solo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SV",""),IF(G35="",IF(H35&gt;=5,"no retomado en 9-11","previo"),IF(B35&lt;9,"retomado",IF(AND(C35&lt;=1,E35&gt;=3),"solo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SV",""),IF(G36="",IF(H36&gt;=5,"no retomado en 9-11","previo"),IF(B36&lt;9,"retomado",IF(AND(C36&lt;=1,E36&gt;=3),"solo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SV",""),IF(G37="",IF(H37&gt;=5,"no retomado en 9-11","previo"),IF(B37&lt;9,"retomado",IF(AND(C37&lt;=1,E37&gt;=3),"solo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SV",""),IF(G38="",IF(H38&gt;=5,"no retomado en 9-11","previo"),IF(B38&lt;9,"retomado",IF(AND(C38&lt;=1,E38&gt;=3),"solo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SV",""),IF(G39="",IF(H39&gt;=5,"no retomado en 9-11","previo"),IF(B39&lt;9,"retomado",IF(AND(C39&lt;=1,E39&gt;=3),"solo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SV",""),IF(G40="",IF(H40&gt;=5,"no retomado en 9-11","previo"),IF(B40&lt;9,"retomado",IF(AND(C40&lt;=1,E40&gt;=3),"solo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SV",""),IF(G41="",IF(H41&gt;=5,"no retomado en 9-11","previo"),IF(B41&lt;9,"retomado",IF(AND(C41&lt;=1,E41&gt;=3),"solo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SV",""),IF(G42="",IF(H42&gt;=5,"no retomado en 9-11","previo"),IF(B42&lt;9,"retomado",IF(AND(C42&lt;=1,E42&gt;=3),"solo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SV",""),IF(G43="",IF(H43&gt;=5,"no retomado en 9-11","previo"),IF(B43&lt;9,"retomado",IF(AND(C43&lt;=1,E43&gt;=3),"solo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SV",""),IF(G44="",IF(H44&gt;=5,"no retomado en 9-11","previo"),IF(B44&lt;9,"retomado",IF(AND(C44&lt;=1,E44&gt;=3),"solo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SV",""),IF(G45="",IF(H45&gt;=5,"no retomado en 9-11","previo"),IF(B45&lt;9,"retomado",IF(AND(C45&lt;=1,E45&gt;=3),"solo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SV",""),IF(G46="",IF(H46&gt;=5,"no retomado en 9-11","previo"),IF(B46&lt;9,"retomado",IF(AND(C46&lt;=1,E46&gt;=3),"solo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SV",""),IF(G47="",IF(H47&gt;=5,"no retomado en 9-11","previo"),IF(B47&lt;9,"retomado",IF(AND(C47&lt;=1,E47&gt;=3),"solo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SV",""),IF(G48="",IF(H48&gt;=5,"no retomado en 9-11","previo"),IF(B48&lt;9,"retomado",IF(AND(C48&lt;=1,E48&gt;=3),"solo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SV",""),IF(G49="",IF(H49&gt;=5,"no retomado en 9-11","previo"),IF(B49&lt;9,"retomado",IF(AND(C49&lt;=1,E49&gt;=3),"solo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SV",""),IF(G50="",IF(H50&gt;=5,"no retomado en 9-11","previo"),IF(B50&lt;9,"retomado",IF(AND(C50&lt;=1,E50&gt;=3),"solo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SV",""),IF(G51="",IF(H51&gt;=5,"no retomado en 9-11","previo"),IF(B51&lt;9,"retomado",IF(AND(C51&lt;=1,E51&gt;=3),"solo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SV",""),IF(G52="",IF(H52&gt;=5,"no retomado en 9-11","previo"),IF(B52&lt;9,"retomado",IF(AND(C52&lt;=1,E52&gt;=3),"solo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SV",""),IF(G53="",IF(H53&gt;=5,"no retomado en 9-11","previo"),IF(B53&lt;9,"retomado",IF(AND(C53&lt;=1,E53&gt;=3),"solo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SV",""),IF(G54="",IF(H54&gt;=5,"no retomado en 9-11","previo"),IF(B54&lt;9,"retomado",IF(AND(C54&lt;=1,E54&gt;=3),"solo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SV",""),IF(G55="",IF(H55&gt;=5,"no retomado en 9-11","previo"),IF(B55&lt;9,"retomado",IF(AND(C55&lt;=1,E55&gt;=3),"solo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SV",""),IF(G56="",IF(H56&gt;=5,"no retomado en 9-11","previo"),IF(B56&lt;9,"retomado",IF(AND(C56&lt;=1,E56&gt;=3),"solo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SV",""),IF(G57="",IF(H57&gt;=5,"no retomado en 9-11","previo"),IF(B57&lt;9,"retomado",IF(AND(C57&lt;=1,E57&gt;=3),"solo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SV",""),IF(G58="",IF(H58&gt;=5,"no retomado en 9-11","previo"),IF(B58&lt;9,"retomado",IF(AND(C58&lt;=1,E58&gt;=3),"solo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SV",""),IF(G59="",IF(H59&gt;=5,"no retomado en 9-11","previo"),IF(B59&lt;9,"retomado",IF(AND(C59&lt;=1,E59&gt;=3),"solo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SV",""),IF(G60="",IF(H60&gt;=5,"no retomado en 9-11","previo"),IF(B60&lt;9,"retomado",IF(AND(C60&lt;=1,E60&gt;=3),"solo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SV",""),IF(G61="",IF(H61&gt;=5,"no retomado en 9-11","previo"),IF(B61&lt;9,"retomado",IF(AND(C61&lt;=1,E61&gt;=3),"solo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SV",""),IF(G62="",IF(H62&gt;=5,"no retomado en 9-11","previo"),IF(B62&lt;9,"retomado",IF(AND(C62&lt;=1,E62&gt;=3),"solo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SV",""),IF(G63="",IF(H63&gt;=5,"no retomado en 9-11","previo"),IF(B63&lt;9,"retomado",IF(AND(C63&lt;=1,E63&gt;=3),"solo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SV",""),IF(G64="",IF(H64&gt;=5,"no retomado en 9-11","previo"),IF(B64&lt;9,"retomado",IF(AND(C64&lt;=1,E64&gt;=3),"solo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SV",""),IF(G65="",IF(H65&gt;=5,"no retomado en 9-11","previo"),IF(B65&lt;9,"retomado",IF(AND(C65&lt;=1,E65&gt;=3),"solo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SV",""),IF(G66="",IF(H66&gt;=5,"no retomado en 9-11","previo"),IF(B66&lt;9,"retomado",IF(AND(C66&lt;=1,E66&gt;=3),"solo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SV",""),IF(G67="",IF(H67&gt;=5,"no retomado en 9-11","previo"),IF(B67&lt;9,"retomado",IF(AND(C67&lt;=1,E67&gt;=3),"solo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SV",""),IF(G68="",IF(H68&gt;=5,"no retomado en 9-11","previo"),IF(B68&lt;9,"retomado",IF(AND(C68&lt;=1,E68&gt;=3),"solo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SV",""),IF(G69="",IF(H69&gt;=5,"no retomado en 9-11","previo"),IF(B69&lt;9,"retomado",IF(AND(C69&lt;=1,E69&gt;=3),"solo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SV",""),IF(G70="",IF(H70&gt;=5,"no retomado en 9-11","previo"),IF(B70&lt;9,"retomado",IF(AND(C70&lt;=1,E70&gt;=3),"solo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SV",""),IF(G71="",IF(H71&gt;=5,"no retomado en 9-11","previo"),IF(B71&lt;9,"retomado",IF(AND(C71&lt;=1,E71&gt;=3),"solo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SV",""),IF(G72="",IF(H72&gt;=5,"no retomado en 9-11","previo"),IF(B72&lt;9,"retomado",IF(AND(C72&lt;=1,E72&gt;=3),"solo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SV",""),IF(G73="",IF(H73&gt;=5,"no retomado en 9-11","previo"),IF(B73&lt;9,"retomado",IF(AND(C73&lt;=1,E73&gt;=3),"solo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SV",""),IF(G74="",IF(H74&gt;=5,"no retomado en 9-11","previo"),IF(B74&lt;9,"retomado",IF(AND(C74&lt;=1,E74&gt;=3),"solo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SV",""),IF(G75="",IF(H75&gt;=5,"no retomado en 9-11","previo"),IF(B75&lt;9,"retomado",IF(AND(C75&lt;=1,E75&gt;=3),"solo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SV",""),IF(G76="",IF(H76&gt;=5,"no retomado en 9-11","previo"),IF(B76&lt;9,"retomado",IF(AND(C76&lt;=1,E76&gt;=3),"solo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SV",""),IF(G77="",IF(H77&gt;=5,"no retomado en 9-11","previo"),IF(B77&lt;9,"retomado",IF(AND(C77&lt;=1,E77&gt;=3),"solo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SV",""),IF(G78="",IF(H78&gt;=5,"no retomado en 9-11","previo"),IF(B78&lt;9,"retomado",IF(AND(C78&lt;=1,E78&gt;=3),"solo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SV",""),IF(G79="",IF(H79&gt;=5,"no retomado en 9-11","previo"),IF(B79&lt;9,"retomado",IF(AND(C79&lt;=1,E79&gt;=3),"solo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SV",""),IF(G80="",IF(H80&gt;=5,"no retomado en 9-11","previo"),IF(B80&lt;9,"retomado",IF(AND(C80&lt;=1,E80&gt;=3),"solo especializacion",IF(F80="","coherente",IF(F80&lt;=-1.5,"SV adelantado",IF(F80&gt;=2,"SV tarde","coherente")))))))</f>
        <v/>
      </c>
      <c r="J80">
        <f>Datos!B80</f>
        <v/>
      </c>
    </row>
    <row r="81">
      <c r="A81">
        <f>Datos!A81</f>
        <v/>
      </c>
      <c r="B81">
        <f>IF(Datos!C81="","",Datos!C81)</f>
        <v/>
      </c>
      <c r="C81">
        <f>COUNT(Datos!E81:M81)</f>
        <v/>
      </c>
      <c r="D81">
        <f>IF(C81=0,"",MEDIAN(Datos!E81:M81))</f>
        <v/>
      </c>
      <c r="E81">
        <f>COUNT(Datos!W81:AE81)</f>
        <v/>
      </c>
      <c r="F81">
        <f>IF(OR(B81="",D81=""),"",B81-D81)</f>
        <v/>
      </c>
      <c r="G81">
        <f>IF(Datos!D81="","",Datos!D81)</f>
        <v/>
      </c>
      <c r="H81">
        <f>COUNT(Datos!N81:V81)</f>
        <v/>
      </c>
      <c r="I81">
        <f>IF(B81="",IF(C81&gt;=5,"falta en SV",""),IF(G81="",IF(H81&gt;=5,"no retomado en 9-11","previo"),IF(B81&lt;9,"retomado",IF(AND(C81&lt;=1,E81&gt;=3),"solo especializacion",IF(F81="","coherente",IF(F81&lt;=-1.5,"SV adelantado",IF(F81&gt;=2,"SV tarde","coherente")))))))</f>
        <v/>
      </c>
      <c r="J81">
        <f>Datos!B81</f>
        <v/>
      </c>
    </row>
    <row r="82">
      <c r="A82">
        <f>Datos!A82</f>
        <v/>
      </c>
      <c r="B82">
        <f>IF(Datos!C82="","",Datos!C82)</f>
        <v/>
      </c>
      <c r="C82">
        <f>COUNT(Datos!E82:M82)</f>
        <v/>
      </c>
      <c r="D82">
        <f>IF(C82=0,"",MEDIAN(Datos!E82:M82))</f>
        <v/>
      </c>
      <c r="E82">
        <f>COUNT(Datos!W82:AE82)</f>
        <v/>
      </c>
      <c r="F82">
        <f>IF(OR(B82="",D82=""),"",B82-D82)</f>
        <v/>
      </c>
      <c r="G82">
        <f>IF(Datos!D82="","",Datos!D82)</f>
        <v/>
      </c>
      <c r="H82">
        <f>COUNT(Datos!N82:V82)</f>
        <v/>
      </c>
      <c r="I82">
        <f>IF(B82="",IF(C82&gt;=5,"falta en SV",""),IF(G82="",IF(H82&gt;=5,"no retomado en 9-11","previo"),IF(B82&lt;9,"retomado",IF(AND(C82&lt;=1,E82&gt;=3),"solo especializacion",IF(F82="","coherente",IF(F82&lt;=-1.5,"SV adelantado",IF(F82&gt;=2,"SV tarde","coherente")))))))</f>
        <v/>
      </c>
      <c r="J82">
        <f>Datos!B82</f>
        <v/>
      </c>
    </row>
    <row r="83">
      <c r="A83">
        <f>Datos!A83</f>
        <v/>
      </c>
      <c r="B83">
        <f>IF(Datos!C83="","",Datos!C83)</f>
        <v/>
      </c>
      <c r="C83">
        <f>COUNT(Datos!E83:M83)</f>
        <v/>
      </c>
      <c r="D83">
        <f>IF(C83=0,"",MEDIAN(Datos!E83:M83))</f>
        <v/>
      </c>
      <c r="E83">
        <f>COUNT(Datos!W83:AE83)</f>
        <v/>
      </c>
      <c r="F83">
        <f>IF(OR(B83="",D83=""),"",B83-D83)</f>
        <v/>
      </c>
      <c r="G83">
        <f>IF(Datos!D83="","",Datos!D83)</f>
        <v/>
      </c>
      <c r="H83">
        <f>COUNT(Datos!N83:V83)</f>
        <v/>
      </c>
      <c r="I83">
        <f>IF(B83="",IF(C83&gt;=5,"falta en SV",""),IF(G83="",IF(H83&gt;=5,"no retomado en 9-11","previo"),IF(B83&lt;9,"retomado",IF(AND(C83&lt;=1,E83&gt;=3),"solo especializacion",IF(F83="","coherente",IF(F83&lt;=-1.5,"SV adelantado",IF(F83&gt;=2,"SV tarde","coherente")))))))</f>
        <v/>
      </c>
      <c r="J83">
        <f>Datos!B83</f>
        <v/>
      </c>
    </row>
    <row r="84">
      <c r="A84">
        <f>Datos!A84</f>
        <v/>
      </c>
      <c r="B84">
        <f>IF(Datos!C84="","",Datos!C84)</f>
        <v/>
      </c>
      <c r="C84">
        <f>COUNT(Datos!E84:M84)</f>
        <v/>
      </c>
      <c r="D84">
        <f>IF(C84=0,"",MEDIAN(Datos!E84:M84))</f>
        <v/>
      </c>
      <c r="E84">
        <f>COUNT(Datos!W84:AE84)</f>
        <v/>
      </c>
      <c r="F84">
        <f>IF(OR(B84="",D84=""),"",B84-D84)</f>
        <v/>
      </c>
      <c r="G84">
        <f>IF(Datos!D84="","",Datos!D84)</f>
        <v/>
      </c>
      <c r="H84">
        <f>COUNT(Datos!N84:V84)</f>
        <v/>
      </c>
      <c r="I84">
        <f>IF(B84="",IF(C84&gt;=5,"falta en SV",""),IF(G84="",IF(H84&gt;=5,"no retomado en 9-11","previo"),IF(B84&lt;9,"retomado",IF(AND(C84&lt;=1,E84&gt;=3),"solo especializacion",IF(F84="","coherente",IF(F84&lt;=-1.5,"SV adelantado",IF(F84&gt;=2,"SV tarde","coherente")))))))</f>
        <v/>
      </c>
      <c r="J84">
        <f>Datos!B84</f>
        <v/>
      </c>
    </row>
    <row r="85">
      <c r="A85">
        <f>Datos!A85</f>
        <v/>
      </c>
      <c r="B85">
        <f>IF(Datos!C85="","",Datos!C85)</f>
        <v/>
      </c>
      <c r="C85">
        <f>COUNT(Datos!E85:M85)</f>
        <v/>
      </c>
      <c r="D85">
        <f>IF(C85=0,"",MEDIAN(Datos!E85:M85))</f>
        <v/>
      </c>
      <c r="E85">
        <f>COUNT(Datos!W85:AE85)</f>
        <v/>
      </c>
      <c r="F85">
        <f>IF(OR(B85="",D85=""),"",B85-D85)</f>
        <v/>
      </c>
      <c r="G85">
        <f>IF(Datos!D85="","",Datos!D85)</f>
        <v/>
      </c>
      <c r="H85">
        <f>COUNT(Datos!N85:V85)</f>
        <v/>
      </c>
      <c r="I85">
        <f>IF(B85="",IF(C85&gt;=5,"falta en SV",""),IF(G85="",IF(H85&gt;=5,"no retomado en 9-11","previo"),IF(B85&lt;9,"retomado",IF(AND(C85&lt;=1,E85&gt;=3),"solo especializacion",IF(F85="","coherente",IF(F85&lt;=-1.5,"SV adelantado",IF(F85&gt;=2,"SV tarde","coherente")))))))</f>
        <v/>
      </c>
      <c r="J85">
        <f>Datos!B85</f>
        <v/>
      </c>
    </row>
    <row r="86">
      <c r="A86">
        <f>Datos!A86</f>
        <v/>
      </c>
      <c r="B86">
        <f>IF(Datos!C86="","",Datos!C86)</f>
        <v/>
      </c>
      <c r="C86">
        <f>COUNT(Datos!E86:M86)</f>
        <v/>
      </c>
      <c r="D86">
        <f>IF(C86=0,"",MEDIAN(Datos!E86:M86))</f>
        <v/>
      </c>
      <c r="E86">
        <f>COUNT(Datos!W86:AE86)</f>
        <v/>
      </c>
      <c r="F86">
        <f>IF(OR(B86="",D86=""),"",B86-D86)</f>
        <v/>
      </c>
      <c r="G86">
        <f>IF(Datos!D86="","",Datos!D86)</f>
        <v/>
      </c>
      <c r="H86">
        <f>COUNT(Datos!N86:V86)</f>
        <v/>
      </c>
      <c r="I86">
        <f>IF(B86="",IF(C86&gt;=5,"falta en SV",""),IF(G86="",IF(H86&gt;=5,"no retomado en 9-11","previo"),IF(B86&lt;9,"retomado",IF(AND(C86&lt;=1,E86&gt;=3),"solo especializacion",IF(F86="","coherente",IF(F86&lt;=-1.5,"SV adelantado",IF(F86&gt;=2,"SV tarde","coherente")))))))</f>
        <v/>
      </c>
      <c r="J86">
        <f>Datos!B86</f>
        <v/>
      </c>
    </row>
    <row r="87">
      <c r="A87">
        <f>Datos!A87</f>
        <v/>
      </c>
      <c r="B87">
        <f>IF(Datos!C87="","",Datos!C87)</f>
        <v/>
      </c>
      <c r="C87">
        <f>COUNT(Datos!E87:M87)</f>
        <v/>
      </c>
      <c r="D87">
        <f>IF(C87=0,"",MEDIAN(Datos!E87:M87))</f>
        <v/>
      </c>
      <c r="E87">
        <f>COUNT(Datos!W87:AE87)</f>
        <v/>
      </c>
      <c r="F87">
        <f>IF(OR(B87="",D87=""),"",B87-D87)</f>
        <v/>
      </c>
      <c r="G87">
        <f>IF(Datos!D87="","",Datos!D87)</f>
        <v/>
      </c>
      <c r="H87">
        <f>COUNT(Datos!N87:V87)</f>
        <v/>
      </c>
      <c r="I87">
        <f>IF(B87="",IF(C87&gt;=5,"falta en SV",""),IF(G87="",IF(H87&gt;=5,"no retomado en 9-11","previo"),IF(B87&lt;9,"retomado",IF(AND(C87&lt;=1,E87&gt;=3),"solo especializacion",IF(F87="","coherente",IF(F87&lt;=-1.5,"SV adelantado",IF(F87&gt;=2,"SV tarde","coherente")))))))</f>
        <v/>
      </c>
      <c r="J87">
        <f>Datos!B87</f>
        <v/>
      </c>
    </row>
    <row r="88">
      <c r="A88">
        <f>Datos!A88</f>
        <v/>
      </c>
      <c r="B88">
        <f>IF(Datos!C88="","",Datos!C88)</f>
        <v/>
      </c>
      <c r="C88">
        <f>COUNT(Datos!E88:M88)</f>
        <v/>
      </c>
      <c r="D88">
        <f>IF(C88=0,"",MEDIAN(Datos!E88:M88))</f>
        <v/>
      </c>
      <c r="E88">
        <f>COUNT(Datos!W88:AE88)</f>
        <v/>
      </c>
      <c r="F88">
        <f>IF(OR(B88="",D88=""),"",B88-D88)</f>
        <v/>
      </c>
      <c r="G88">
        <f>IF(Datos!D88="","",Datos!D88)</f>
        <v/>
      </c>
      <c r="H88">
        <f>COUNT(Datos!N88:V88)</f>
        <v/>
      </c>
      <c r="I88">
        <f>IF(B88="",IF(C88&gt;=5,"falta en SV",""),IF(G88="",IF(H88&gt;=5,"no retomado en 9-11","previo"),IF(B88&lt;9,"retomado",IF(AND(C88&lt;=1,E88&gt;=3),"solo especializacion",IF(F88="","coherente",IF(F88&lt;=-1.5,"SV adelantado",IF(F88&gt;=2,"SV tarde","coherente")))))))</f>
        <v/>
      </c>
      <c r="J88">
        <f>Datos!B88</f>
        <v/>
      </c>
    </row>
    <row r="89">
      <c r="A89">
        <f>Datos!A89</f>
        <v/>
      </c>
      <c r="B89">
        <f>IF(Datos!C89="","",Datos!C89)</f>
        <v/>
      </c>
      <c r="C89">
        <f>COUNT(Datos!E89:M89)</f>
        <v/>
      </c>
      <c r="D89">
        <f>IF(C89=0,"",MEDIAN(Datos!E89:M89))</f>
        <v/>
      </c>
      <c r="E89">
        <f>COUNT(Datos!W89:AE89)</f>
        <v/>
      </c>
      <c r="F89">
        <f>IF(OR(B89="",D89=""),"",B89-D89)</f>
        <v/>
      </c>
      <c r="G89">
        <f>IF(Datos!D89="","",Datos!D89)</f>
        <v/>
      </c>
      <c r="H89">
        <f>COUNT(Datos!N89:V89)</f>
        <v/>
      </c>
      <c r="I89">
        <f>IF(B89="",IF(C89&gt;=5,"falta en SV",""),IF(G89="",IF(H89&gt;=5,"no retomado en 9-11","previo"),IF(B89&lt;9,"retomado",IF(AND(C89&lt;=1,E89&gt;=3),"solo especializacion",IF(F89="","coherente",IF(F89&lt;=-1.5,"SV adelantado",IF(F89&gt;=2,"SV tarde","coherente")))))))</f>
        <v/>
      </c>
      <c r="J89">
        <f>Datos!B89</f>
        <v/>
      </c>
    </row>
    <row r="90">
      <c r="A90">
        <f>Datos!A90</f>
        <v/>
      </c>
      <c r="B90">
        <f>IF(Datos!C90="","",Datos!C90)</f>
        <v/>
      </c>
      <c r="C90">
        <f>COUNT(Datos!E90:M90)</f>
        <v/>
      </c>
      <c r="D90">
        <f>IF(C90=0,"",MEDIAN(Datos!E90:M90))</f>
        <v/>
      </c>
      <c r="E90">
        <f>COUNT(Datos!W90:AE90)</f>
        <v/>
      </c>
      <c r="F90">
        <f>IF(OR(B90="",D90=""),"",B90-D90)</f>
        <v/>
      </c>
      <c r="G90">
        <f>IF(Datos!D90="","",Datos!D90)</f>
        <v/>
      </c>
      <c r="H90">
        <f>COUNT(Datos!N90:V90)</f>
        <v/>
      </c>
      <c r="I90">
        <f>IF(B90="",IF(C90&gt;=5,"falta en SV",""),IF(G90="",IF(H90&gt;=5,"no retomado en 9-11","previo"),IF(B90&lt;9,"retomado",IF(AND(C90&lt;=1,E90&gt;=3),"solo especializacion",IF(F90="","coherente",IF(F90&lt;=-1.5,"SV adelantado",IF(F90&gt;=2,"SV tarde","coherente")))))))</f>
        <v/>
      </c>
      <c r="J90">
        <f>Datos!B90</f>
        <v/>
      </c>
    </row>
    <row r="91">
      <c r="A91">
        <f>Datos!A91</f>
        <v/>
      </c>
      <c r="B91">
        <f>IF(Datos!C91="","",Datos!C91)</f>
        <v/>
      </c>
      <c r="C91">
        <f>COUNT(Datos!E91:M91)</f>
        <v/>
      </c>
      <c r="D91">
        <f>IF(C91=0,"",MEDIAN(Datos!E91:M91))</f>
        <v/>
      </c>
      <c r="E91">
        <f>COUNT(Datos!W91:AE91)</f>
        <v/>
      </c>
      <c r="F91">
        <f>IF(OR(B91="",D91=""),"",B91-D91)</f>
        <v/>
      </c>
      <c r="G91">
        <f>IF(Datos!D91="","",Datos!D91)</f>
        <v/>
      </c>
      <c r="H91">
        <f>COUNT(Datos!N91:V91)</f>
        <v/>
      </c>
      <c r="I91">
        <f>IF(B91="",IF(C91&gt;=5,"falta en SV",""),IF(G91="",IF(H91&gt;=5,"no retomado en 9-11","previo"),IF(B91&lt;9,"retomado",IF(AND(C91&lt;=1,E91&gt;=3),"solo especializacion",IF(F91="","coherente",IF(F91&lt;=-1.5,"SV adelantado",IF(F91&gt;=2,"SV tarde","coherente")))))))</f>
        <v/>
      </c>
      <c r="J91">
        <f>Datos!B91</f>
        <v/>
      </c>
    </row>
    <row r="92">
      <c r="A92">
        <f>Datos!A92</f>
        <v/>
      </c>
      <c r="B92">
        <f>IF(Datos!C92="","",Datos!C92)</f>
        <v/>
      </c>
      <c r="C92">
        <f>COUNT(Datos!E92:M92)</f>
        <v/>
      </c>
      <c r="D92">
        <f>IF(C92=0,"",MEDIAN(Datos!E92:M92))</f>
        <v/>
      </c>
      <c r="E92">
        <f>COUNT(Datos!W92:AE92)</f>
        <v/>
      </c>
      <c r="F92">
        <f>IF(OR(B92="",D92=""),"",B92-D92)</f>
        <v/>
      </c>
      <c r="G92">
        <f>IF(Datos!D92="","",Datos!D92)</f>
        <v/>
      </c>
      <c r="H92">
        <f>COUNT(Datos!N92:V92)</f>
        <v/>
      </c>
      <c r="I92">
        <f>IF(B92="",IF(C92&gt;=5,"falta en SV",""),IF(G92="",IF(H92&gt;=5,"no retomado en 9-11","previo"),IF(B92&lt;9,"retomado",IF(AND(C92&lt;=1,E92&gt;=3),"solo especializacion",IF(F92="","coherente",IF(F92&lt;=-1.5,"SV adelantado",IF(F92&gt;=2,"SV tarde","coherente")))))))</f>
        <v/>
      </c>
      <c r="J92">
        <f>Datos!B92</f>
        <v/>
      </c>
    </row>
    <row r="93">
      <c r="A93">
        <f>Datos!A93</f>
        <v/>
      </c>
      <c r="B93">
        <f>IF(Datos!C93="","",Datos!C93)</f>
        <v/>
      </c>
      <c r="C93">
        <f>COUNT(Datos!E93:M93)</f>
        <v/>
      </c>
      <c r="D93">
        <f>IF(C93=0,"",MEDIAN(Datos!E93:M93))</f>
        <v/>
      </c>
      <c r="E93">
        <f>COUNT(Datos!W93:AE93)</f>
        <v/>
      </c>
      <c r="F93">
        <f>IF(OR(B93="",D93=""),"",B93-D93)</f>
        <v/>
      </c>
      <c r="G93">
        <f>IF(Datos!D93="","",Datos!D93)</f>
        <v/>
      </c>
      <c r="H93">
        <f>COUNT(Datos!N93:V93)</f>
        <v/>
      </c>
      <c r="I93">
        <f>IF(B93="",IF(C93&gt;=5,"falta en SV",""),IF(G93="",IF(H93&gt;=5,"no retomado en 9-11","previo"),IF(B93&lt;9,"retomado",IF(AND(C93&lt;=1,E93&gt;=3),"solo especializacion",IF(F93="","coherente",IF(F93&lt;=-1.5,"SV adelantado",IF(F93&gt;=2,"SV tarde","coherente")))))))</f>
        <v/>
      </c>
      <c r="J93">
        <f>Datos!B93</f>
        <v/>
      </c>
    </row>
    <row r="94">
      <c r="A94">
        <f>Datos!A94</f>
        <v/>
      </c>
      <c r="B94">
        <f>IF(Datos!C94="","",Datos!C94)</f>
        <v/>
      </c>
      <c r="C94">
        <f>COUNT(Datos!E94:M94)</f>
        <v/>
      </c>
      <c r="D94">
        <f>IF(C94=0,"",MEDIAN(Datos!E94:M94))</f>
        <v/>
      </c>
      <c r="E94">
        <f>COUNT(Datos!W94:AE94)</f>
        <v/>
      </c>
      <c r="F94">
        <f>IF(OR(B94="",D94=""),"",B94-D94)</f>
        <v/>
      </c>
      <c r="G94">
        <f>IF(Datos!D94="","",Datos!D94)</f>
        <v/>
      </c>
      <c r="H94">
        <f>COUNT(Datos!N94:V94)</f>
        <v/>
      </c>
      <c r="I94">
        <f>IF(B94="",IF(C94&gt;=5,"falta en SV",""),IF(G94="",IF(H94&gt;=5,"no retomado en 9-11","previo"),IF(B94&lt;9,"retomado",IF(AND(C94&lt;=1,E94&gt;=3),"solo especializacion",IF(F94="","coherente",IF(F94&lt;=-1.5,"SV adelantado",IF(F94&gt;=2,"SV tarde","coherente")))))))</f>
        <v/>
      </c>
      <c r="J94">
        <f>Datos!B94</f>
        <v/>
      </c>
    </row>
    <row r="95">
      <c r="A95">
        <f>Datos!A95</f>
        <v/>
      </c>
      <c r="B95">
        <f>IF(Datos!C95="","",Datos!C95)</f>
        <v/>
      </c>
      <c r="C95">
        <f>COUNT(Datos!E95:M95)</f>
        <v/>
      </c>
      <c r="D95">
        <f>IF(C95=0,"",MEDIAN(Datos!E95:M95))</f>
        <v/>
      </c>
      <c r="E95">
        <f>COUNT(Datos!W95:AE95)</f>
        <v/>
      </c>
      <c r="F95">
        <f>IF(OR(B95="",D95=""),"",B95-D95)</f>
        <v/>
      </c>
      <c r="G95">
        <f>IF(Datos!D95="","",Datos!D95)</f>
        <v/>
      </c>
      <c r="H95">
        <f>COUNT(Datos!N95:V95)</f>
        <v/>
      </c>
      <c r="I95">
        <f>IF(B95="",IF(C95&gt;=5,"falta en SV",""),IF(G95="",IF(H95&gt;=5,"no retomado en 9-11","previo"),IF(B95&lt;9,"retomado",IF(AND(C95&lt;=1,E95&gt;=3),"solo especializacion",IF(F95="","coherente",IF(F95&lt;=-1.5,"SV adelantado",IF(F95&gt;=2,"SV tarde","coherente")))))))</f>
        <v/>
      </c>
      <c r="J95">
        <f>Datos!B95</f>
        <v/>
      </c>
    </row>
    <row r="96">
      <c r="A96">
        <f>Datos!A96</f>
        <v/>
      </c>
      <c r="B96">
        <f>IF(Datos!C96="","",Datos!C96)</f>
        <v/>
      </c>
      <c r="C96">
        <f>COUNT(Datos!E96:M96)</f>
        <v/>
      </c>
      <c r="D96">
        <f>IF(C96=0,"",MEDIAN(Datos!E96:M96))</f>
        <v/>
      </c>
      <c r="E96">
        <f>COUNT(Datos!W96:AE96)</f>
        <v/>
      </c>
      <c r="F96">
        <f>IF(OR(B96="",D96=""),"",B96-D96)</f>
        <v/>
      </c>
      <c r="G96">
        <f>IF(Datos!D96="","",Datos!D96)</f>
        <v/>
      </c>
      <c r="H96">
        <f>COUNT(Datos!N96:V96)</f>
        <v/>
      </c>
      <c r="I96">
        <f>IF(B96="",IF(C96&gt;=5,"falta en SV",""),IF(G96="",IF(H96&gt;=5,"no retomado en 9-11","previo"),IF(B96&lt;9,"retomado",IF(AND(C96&lt;=1,E96&gt;=3),"solo especializacion",IF(F96="","coherente",IF(F96&lt;=-1.5,"SV adelantado",IF(F96&gt;=2,"SV tarde","coherente")))))))</f>
        <v/>
      </c>
      <c r="J96">
        <f>Datos!B96</f>
        <v/>
      </c>
    </row>
    <row r="97">
      <c r="A97">
        <f>Datos!A97</f>
        <v/>
      </c>
      <c r="B97">
        <f>IF(Datos!C97="","",Datos!C97)</f>
        <v/>
      </c>
      <c r="C97">
        <f>COUNT(Datos!E97:M97)</f>
        <v/>
      </c>
      <c r="D97">
        <f>IF(C97=0,"",MEDIAN(Datos!E97:M97))</f>
        <v/>
      </c>
      <c r="E97">
        <f>COUNT(Datos!W97:AE97)</f>
        <v/>
      </c>
      <c r="F97">
        <f>IF(OR(B97="",D97=""),"",B97-D97)</f>
        <v/>
      </c>
      <c r="G97">
        <f>IF(Datos!D97="","",Datos!D97)</f>
        <v/>
      </c>
      <c r="H97">
        <f>COUNT(Datos!N97:V97)</f>
        <v/>
      </c>
      <c r="I97">
        <f>IF(B97="",IF(C97&gt;=5,"falta en SV",""),IF(G97="",IF(H97&gt;=5,"no retomado en 9-11","previo"),IF(B97&lt;9,"retomado",IF(AND(C97&lt;=1,E97&gt;=3),"solo especializacion",IF(F97="","coherente",IF(F97&lt;=-1.5,"SV adelantado",IF(F97&gt;=2,"SV tarde","coherente")))))))</f>
        <v/>
      </c>
      <c r="J97">
        <f>Datos!B97</f>
        <v/>
      </c>
    </row>
    <row r="98">
      <c r="A98">
        <f>Datos!A98</f>
        <v/>
      </c>
      <c r="B98">
        <f>IF(Datos!C98="","",Datos!C98)</f>
        <v/>
      </c>
      <c r="C98">
        <f>COUNT(Datos!E98:M98)</f>
        <v/>
      </c>
      <c r="D98">
        <f>IF(C98=0,"",MEDIAN(Datos!E98:M98))</f>
        <v/>
      </c>
      <c r="E98">
        <f>COUNT(Datos!W98:AE98)</f>
        <v/>
      </c>
      <c r="F98">
        <f>IF(OR(B98="",D98=""),"",B98-D98)</f>
        <v/>
      </c>
      <c r="G98">
        <f>IF(Datos!D98="","",Datos!D98)</f>
        <v/>
      </c>
      <c r="H98">
        <f>COUNT(Datos!N98:V98)</f>
        <v/>
      </c>
      <c r="I98">
        <f>IF(B98="",IF(C98&gt;=5,"falta en SV",""),IF(G98="",IF(H98&gt;=5,"no retomado en 9-11","previo"),IF(B98&lt;9,"retomado",IF(AND(C98&lt;=1,E98&gt;=3),"solo especializacion",IF(F98="","coherente",IF(F98&lt;=-1.5,"SV adelantado",IF(F98&gt;=2,"SV tarde","coherente")))))))</f>
        <v/>
      </c>
      <c r="J98">
        <f>Datos!B98</f>
        <v/>
      </c>
    </row>
    <row r="99">
      <c r="A99">
        <f>Datos!A99</f>
        <v/>
      </c>
      <c r="B99">
        <f>IF(Datos!C99="","",Datos!C99)</f>
        <v/>
      </c>
      <c r="C99">
        <f>COUNT(Datos!E99:M99)</f>
        <v/>
      </c>
      <c r="D99">
        <f>IF(C99=0,"",MEDIAN(Datos!E99:M99))</f>
        <v/>
      </c>
      <c r="E99">
        <f>COUNT(Datos!W99:AE99)</f>
        <v/>
      </c>
      <c r="F99">
        <f>IF(OR(B99="",D99=""),"",B99-D99)</f>
        <v/>
      </c>
      <c r="G99">
        <f>IF(Datos!D99="","",Datos!D99)</f>
        <v/>
      </c>
      <c r="H99">
        <f>COUNT(Datos!N99:V99)</f>
        <v/>
      </c>
      <c r="I99">
        <f>IF(B99="",IF(C99&gt;=5,"falta en SV",""),IF(G99="",IF(H99&gt;=5,"no retomado en 9-11","previo"),IF(B99&lt;9,"retomado",IF(AND(C99&lt;=1,E99&gt;=3),"solo especializacion",IF(F99="","coherente",IF(F99&lt;=-1.5,"SV adelantado",IF(F99&gt;=2,"SV tarde","coherente")))))))</f>
        <v/>
      </c>
      <c r="J99">
        <f>Datos!B99</f>
        <v/>
      </c>
    </row>
    <row r="100">
      <c r="A100">
        <f>Datos!A100</f>
        <v/>
      </c>
      <c r="B100">
        <f>IF(Datos!C100="","",Datos!C100)</f>
        <v/>
      </c>
      <c r="C100">
        <f>COUNT(Datos!E100:M100)</f>
        <v/>
      </c>
      <c r="D100">
        <f>IF(C100=0,"",MEDIAN(Datos!E100:M100))</f>
        <v/>
      </c>
      <c r="E100">
        <f>COUNT(Datos!W100:AE100)</f>
        <v/>
      </c>
      <c r="F100">
        <f>IF(OR(B100="",D100=""),"",B100-D100)</f>
        <v/>
      </c>
      <c r="G100">
        <f>IF(Datos!D100="","",Datos!D100)</f>
        <v/>
      </c>
      <c r="H100">
        <f>COUNT(Datos!N100:V100)</f>
        <v/>
      </c>
      <c r="I100">
        <f>IF(B100="",IF(C100&gt;=5,"falta en SV",""),IF(G100="",IF(H100&gt;=5,"no retomado en 9-11","previo"),IF(B100&lt;9,"retomado",IF(AND(C100&lt;=1,E100&gt;=3),"solo especializacion",IF(F100="","coherente",IF(F100&lt;=-1.5,"SV adelantado",IF(F100&gt;=2,"SV tarde","coherente")))))))</f>
        <v/>
      </c>
      <c r="J100">
        <f>Datos!B100</f>
        <v/>
      </c>
    </row>
    <row r="101">
      <c r="A101">
        <f>Datos!A101</f>
        <v/>
      </c>
      <c r="B101">
        <f>IF(Datos!C101="","",Datos!C101)</f>
        <v/>
      </c>
      <c r="C101">
        <f>COUNT(Datos!E101:M101)</f>
        <v/>
      </c>
      <c r="D101">
        <f>IF(C101=0,"",MEDIAN(Datos!E101:M101))</f>
        <v/>
      </c>
      <c r="E101">
        <f>COUNT(Datos!W101:AE101)</f>
        <v/>
      </c>
      <c r="F101">
        <f>IF(OR(B101="",D101=""),"",B101-D101)</f>
        <v/>
      </c>
      <c r="G101">
        <f>IF(Datos!D101="","",Datos!D101)</f>
        <v/>
      </c>
      <c r="H101">
        <f>COUNT(Datos!N101:V101)</f>
        <v/>
      </c>
      <c r="I101">
        <f>IF(B101="",IF(C101&gt;=5,"falta en SV",""),IF(G101="",IF(H101&gt;=5,"no retomado en 9-11","previo"),IF(B101&lt;9,"retomado",IF(AND(C101&lt;=1,E101&gt;=3),"solo especializacion",IF(F101="","coherente",IF(F101&lt;=-1.5,"SV adelantado",IF(F101&gt;=2,"SV tarde","coherente")))))))</f>
        <v/>
      </c>
      <c r="J101">
        <f>Datos!B101</f>
        <v/>
      </c>
    </row>
    <row r="102">
      <c r="A102">
        <f>Datos!A102</f>
        <v/>
      </c>
      <c r="B102">
        <f>IF(Datos!C102="","",Datos!C102)</f>
        <v/>
      </c>
      <c r="C102">
        <f>COUNT(Datos!E102:M102)</f>
        <v/>
      </c>
      <c r="D102">
        <f>IF(C102=0,"",MEDIAN(Datos!E102:M102))</f>
        <v/>
      </c>
      <c r="E102">
        <f>COUNT(Datos!W102:AE102)</f>
        <v/>
      </c>
      <c r="F102">
        <f>IF(OR(B102="",D102=""),"",B102-D102)</f>
        <v/>
      </c>
      <c r="G102">
        <f>IF(Datos!D102="","",Datos!D102)</f>
        <v/>
      </c>
      <c r="H102">
        <f>COUNT(Datos!N102:V102)</f>
        <v/>
      </c>
      <c r="I102">
        <f>IF(B102="",IF(C102&gt;=5,"falta en SV",""),IF(G102="",IF(H102&gt;=5,"no retomado en 9-11","previo"),IF(B102&lt;9,"retomado",IF(AND(C102&lt;=1,E102&gt;=3),"solo especializacion",IF(F102="","coherente",IF(F102&lt;=-1.5,"SV adelantado",IF(F102&gt;=2,"SV tarde","coherente")))))))</f>
        <v/>
      </c>
      <c r="J102">
        <f>Datos!B102</f>
        <v/>
      </c>
    </row>
    <row r="103">
      <c r="A103">
        <f>Datos!A103</f>
        <v/>
      </c>
      <c r="B103">
        <f>IF(Datos!C103="","",Datos!C103)</f>
        <v/>
      </c>
      <c r="C103">
        <f>COUNT(Datos!E103:M103)</f>
        <v/>
      </c>
      <c r="D103">
        <f>IF(C103=0,"",MEDIAN(Datos!E103:M103))</f>
        <v/>
      </c>
      <c r="E103">
        <f>COUNT(Datos!W103:AE103)</f>
        <v/>
      </c>
      <c r="F103">
        <f>IF(OR(B103="",D103=""),"",B103-D103)</f>
        <v/>
      </c>
      <c r="G103">
        <f>IF(Datos!D103="","",Datos!D103)</f>
        <v/>
      </c>
      <c r="H103">
        <f>COUNT(Datos!N103:V103)</f>
        <v/>
      </c>
      <c r="I103">
        <f>IF(B103="",IF(C103&gt;=5,"falta en SV",""),IF(G103="",IF(H103&gt;=5,"no retomado en 9-11","previo"),IF(B103&lt;9,"retomado",IF(AND(C103&lt;=1,E103&gt;=3),"solo especializacion",IF(F103="","coherente",IF(F103&lt;=-1.5,"SV adelantado",IF(F103&gt;=2,"SV tarde","coherente")))))))</f>
        <v/>
      </c>
      <c r="J103">
        <f>Datos!B103</f>
        <v/>
      </c>
    </row>
    <row r="104">
      <c r="A104">
        <f>Datos!A104</f>
        <v/>
      </c>
      <c r="B104">
        <f>IF(Datos!C104="","",Datos!C104)</f>
        <v/>
      </c>
      <c r="C104">
        <f>COUNT(Datos!E104:M104)</f>
        <v/>
      </c>
      <c r="D104">
        <f>IF(C104=0,"",MEDIAN(Datos!E104:M104))</f>
        <v/>
      </c>
      <c r="E104">
        <f>COUNT(Datos!W104:AE104)</f>
        <v/>
      </c>
      <c r="F104">
        <f>IF(OR(B104="",D104=""),"",B104-D104)</f>
        <v/>
      </c>
      <c r="G104">
        <f>IF(Datos!D104="","",Datos!D104)</f>
        <v/>
      </c>
      <c r="H104">
        <f>COUNT(Datos!N104:V104)</f>
        <v/>
      </c>
      <c r="I104">
        <f>IF(B104="",IF(C104&gt;=5,"falta en SV",""),IF(G104="",IF(H104&gt;=5,"no retomado en 9-11","previo"),IF(B104&lt;9,"retomado",IF(AND(C104&lt;=1,E104&gt;=3),"solo especializacion",IF(F104="","coherente",IF(F104&lt;=-1.5,"SV adelantado",IF(F104&gt;=2,"SV tarde","coherente")))))))</f>
        <v/>
      </c>
      <c r="J104">
        <f>Datos!B104</f>
        <v/>
      </c>
    </row>
    <row r="105">
      <c r="A105">
        <f>Datos!A105</f>
        <v/>
      </c>
      <c r="B105">
        <f>IF(Datos!C105="","",Datos!C105)</f>
        <v/>
      </c>
      <c r="C105">
        <f>COUNT(Datos!E105:M105)</f>
        <v/>
      </c>
      <c r="D105">
        <f>IF(C105=0,"",MEDIAN(Datos!E105:M105))</f>
        <v/>
      </c>
      <c r="E105">
        <f>COUNT(Datos!W105:AE105)</f>
        <v/>
      </c>
      <c r="F105">
        <f>IF(OR(B105="",D105=""),"",B105-D105)</f>
        <v/>
      </c>
      <c r="G105">
        <f>IF(Datos!D105="","",Datos!D105)</f>
        <v/>
      </c>
      <c r="H105">
        <f>COUNT(Datos!N105:V105)</f>
        <v/>
      </c>
      <c r="I105">
        <f>IF(B105="",IF(C105&gt;=5,"falta en SV",""),IF(G105="",IF(H105&gt;=5,"no retomado en 9-11","previo"),IF(B105&lt;9,"retomado",IF(AND(C105&lt;=1,E105&gt;=3),"solo especializacion",IF(F105="","coherente",IF(F105&lt;=-1.5,"SV adelantado",IF(F105&gt;=2,"SV tarde","coherente")))))))</f>
        <v/>
      </c>
      <c r="J105">
        <f>Datos!B105</f>
        <v/>
      </c>
    </row>
    <row r="106">
      <c r="A106">
        <f>Datos!A106</f>
        <v/>
      </c>
      <c r="B106">
        <f>IF(Datos!C106="","",Datos!C106)</f>
        <v/>
      </c>
      <c r="C106">
        <f>COUNT(Datos!E106:M106)</f>
        <v/>
      </c>
      <c r="D106">
        <f>IF(C106=0,"",MEDIAN(Datos!E106:M106))</f>
        <v/>
      </c>
      <c r="E106">
        <f>COUNT(Datos!W106:AE106)</f>
        <v/>
      </c>
      <c r="F106">
        <f>IF(OR(B106="",D106=""),"",B106-D106)</f>
        <v/>
      </c>
      <c r="G106">
        <f>IF(Datos!D106="","",Datos!D106)</f>
        <v/>
      </c>
      <c r="H106">
        <f>COUNT(Datos!N106:V106)</f>
        <v/>
      </c>
      <c r="I106">
        <f>IF(B106="",IF(C106&gt;=5,"falta en SV",""),IF(G106="",IF(H106&gt;=5,"no retomado en 9-11","previo"),IF(B106&lt;9,"retomado",IF(AND(C106&lt;=1,E106&gt;=3),"solo especializacion",IF(F106="","coherente",IF(F106&lt;=-1.5,"SV adelantado",IF(F106&gt;=2,"SV tarde","coherente")))))))</f>
        <v/>
      </c>
      <c r="J106">
        <f>Datos!B106</f>
        <v/>
      </c>
    </row>
    <row r="107">
      <c r="A107">
        <f>Datos!A107</f>
        <v/>
      </c>
      <c r="B107">
        <f>IF(Datos!C107="","",Datos!C107)</f>
        <v/>
      </c>
      <c r="C107">
        <f>COUNT(Datos!E107:M107)</f>
        <v/>
      </c>
      <c r="D107">
        <f>IF(C107=0,"",MEDIAN(Datos!E107:M107))</f>
        <v/>
      </c>
      <c r="E107">
        <f>COUNT(Datos!W107:AE107)</f>
        <v/>
      </c>
      <c r="F107">
        <f>IF(OR(B107="",D107=""),"",B107-D107)</f>
        <v/>
      </c>
      <c r="G107">
        <f>IF(Datos!D107="","",Datos!D107)</f>
        <v/>
      </c>
      <c r="H107">
        <f>COUNT(Datos!N107:V107)</f>
        <v/>
      </c>
      <c r="I107">
        <f>IF(B107="",IF(C107&gt;=5,"falta en SV",""),IF(G107="",IF(H107&gt;=5,"no retomado en 9-11","previo"),IF(B107&lt;9,"retomado",IF(AND(C107&lt;=1,E107&gt;=3),"solo especializacion",IF(F107="","coherente",IF(F107&lt;=-1.5,"SV adelantado",IF(F107&gt;=2,"SV tarde","coherente")))))))</f>
        <v/>
      </c>
      <c r="J107">
        <f>Datos!B107</f>
        <v/>
      </c>
    </row>
    <row r="108">
      <c r="A108">
        <f>Datos!A108</f>
        <v/>
      </c>
      <c r="B108">
        <f>IF(Datos!C108="","",Datos!C108)</f>
        <v/>
      </c>
      <c r="C108">
        <f>COUNT(Datos!E108:M108)</f>
        <v/>
      </c>
      <c r="D108">
        <f>IF(C108=0,"",MEDIAN(Datos!E108:M108))</f>
        <v/>
      </c>
      <c r="E108">
        <f>COUNT(Datos!W108:AE108)</f>
        <v/>
      </c>
      <c r="F108">
        <f>IF(OR(B108="",D108=""),"",B108-D108)</f>
        <v/>
      </c>
      <c r="G108">
        <f>IF(Datos!D108="","",Datos!D108)</f>
        <v/>
      </c>
      <c r="H108">
        <f>COUNT(Datos!N108:V108)</f>
        <v/>
      </c>
      <c r="I108">
        <f>IF(B108="",IF(C108&gt;=5,"falta en SV",""),IF(G108="",IF(H108&gt;=5,"no retomado en 9-11","previo"),IF(B108&lt;9,"retomado",IF(AND(C108&lt;=1,E108&gt;=3),"solo especializacion",IF(F108="","coherente",IF(F108&lt;=-1.5,"SV adelantado",IF(F108&gt;=2,"SV tarde","coherente")))))))</f>
        <v/>
      </c>
      <c r="J108">
        <f>Datos!B108</f>
        <v/>
      </c>
    </row>
    <row r="109">
      <c r="A109">
        <f>Datos!A109</f>
        <v/>
      </c>
      <c r="B109">
        <f>IF(Datos!C109="","",Datos!C109)</f>
        <v/>
      </c>
      <c r="C109">
        <f>COUNT(Datos!E109:M109)</f>
        <v/>
      </c>
      <c r="D109">
        <f>IF(C109=0,"",MEDIAN(Datos!E109:M109))</f>
        <v/>
      </c>
      <c r="E109">
        <f>COUNT(Datos!W109:AE109)</f>
        <v/>
      </c>
      <c r="F109">
        <f>IF(OR(B109="",D109=""),"",B109-D109)</f>
        <v/>
      </c>
      <c r="G109">
        <f>IF(Datos!D109="","",Datos!D109)</f>
        <v/>
      </c>
      <c r="H109">
        <f>COUNT(Datos!N109:V109)</f>
        <v/>
      </c>
      <c r="I109">
        <f>IF(B109="",IF(C109&gt;=5,"falta en SV",""),IF(G109="",IF(H109&gt;=5,"no retomado en 9-11","previo"),IF(B109&lt;9,"retomado",IF(AND(C109&lt;=1,E109&gt;=3),"solo especializacion",IF(F109="","coherente",IF(F109&lt;=-1.5,"SV adelantado",IF(F109&gt;=2,"SV tarde","coherente")))))))</f>
        <v/>
      </c>
      <c r="J109">
        <f>Datos!B109</f>
        <v/>
      </c>
    </row>
    <row r="110">
      <c r="A110">
        <f>Datos!A110</f>
        <v/>
      </c>
      <c r="B110">
        <f>IF(Datos!C110="","",Datos!C110)</f>
        <v/>
      </c>
      <c r="C110">
        <f>COUNT(Datos!E110:M110)</f>
        <v/>
      </c>
      <c r="D110">
        <f>IF(C110=0,"",MEDIAN(Datos!E110:M110))</f>
        <v/>
      </c>
      <c r="E110">
        <f>COUNT(Datos!W110:AE110)</f>
        <v/>
      </c>
      <c r="F110">
        <f>IF(OR(B110="",D110=""),"",B110-D110)</f>
        <v/>
      </c>
      <c r="G110">
        <f>IF(Datos!D110="","",Datos!D110)</f>
        <v/>
      </c>
      <c r="H110">
        <f>COUNT(Datos!N110:V110)</f>
        <v/>
      </c>
      <c r="I110">
        <f>IF(B110="",IF(C110&gt;=5,"falta en SV",""),IF(G110="",IF(H110&gt;=5,"no retomado en 9-11","previo"),IF(B110&lt;9,"retomado",IF(AND(C110&lt;=1,E110&gt;=3),"solo especializacion",IF(F110="","coherente",IF(F110&lt;=-1.5,"SV adelantado",IF(F110&gt;=2,"SV tarde","coherente")))))))</f>
        <v/>
      </c>
      <c r="J110">
        <f>Datos!B110</f>
        <v/>
      </c>
    </row>
    <row r="111">
      <c r="A111">
        <f>Datos!A111</f>
        <v/>
      </c>
      <c r="B111">
        <f>IF(Datos!C111="","",Datos!C111)</f>
        <v/>
      </c>
      <c r="C111">
        <f>COUNT(Datos!E111:M111)</f>
        <v/>
      </c>
      <c r="D111">
        <f>IF(C111=0,"",MEDIAN(Datos!E111:M111))</f>
        <v/>
      </c>
      <c r="E111">
        <f>COUNT(Datos!W111:AE111)</f>
        <v/>
      </c>
      <c r="F111">
        <f>IF(OR(B111="",D111=""),"",B111-D111)</f>
        <v/>
      </c>
      <c r="G111">
        <f>IF(Datos!D111="","",Datos!D111)</f>
        <v/>
      </c>
      <c r="H111">
        <f>COUNT(Datos!N111:V111)</f>
        <v/>
      </c>
      <c r="I111">
        <f>IF(B111="",IF(C111&gt;=5,"falta en SV",""),IF(G111="",IF(H111&gt;=5,"no retomado en 9-11","previo"),IF(B111&lt;9,"retomado",IF(AND(C111&lt;=1,E111&gt;=3),"solo especializacion",IF(F111="","coherente",IF(F111&lt;=-1.5,"SV adelantado",IF(F111&gt;=2,"SV tarde","coherente")))))))</f>
        <v/>
      </c>
      <c r="J111">
        <f>Datos!B111</f>
        <v/>
      </c>
    </row>
    <row r="112">
      <c r="A112">
        <f>Datos!A112</f>
        <v/>
      </c>
      <c r="B112">
        <f>IF(Datos!C112="","",Datos!C112)</f>
        <v/>
      </c>
      <c r="C112">
        <f>COUNT(Datos!E112:M112)</f>
        <v/>
      </c>
      <c r="D112">
        <f>IF(C112=0,"",MEDIAN(Datos!E112:M112))</f>
        <v/>
      </c>
      <c r="E112">
        <f>COUNT(Datos!W112:AE112)</f>
        <v/>
      </c>
      <c r="F112">
        <f>IF(OR(B112="",D112=""),"",B112-D112)</f>
        <v/>
      </c>
      <c r="G112">
        <f>IF(Datos!D112="","",Datos!D112)</f>
        <v/>
      </c>
      <c r="H112">
        <f>COUNT(Datos!N112:V112)</f>
        <v/>
      </c>
      <c r="I112">
        <f>IF(B112="",IF(C112&gt;=5,"falta en SV",""),IF(G112="",IF(H112&gt;=5,"no retomado en 9-11","previo"),IF(B112&lt;9,"retomado",IF(AND(C112&lt;=1,E112&gt;=3),"solo especializacion",IF(F112="","coherente",IF(F112&lt;=-1.5,"SV adelantado",IF(F112&gt;=2,"SV tarde","coherente")))))))</f>
        <v/>
      </c>
      <c r="J112">
        <f>Datos!B112</f>
        <v/>
      </c>
    </row>
    <row r="113">
      <c r="A113">
        <f>Datos!A113</f>
        <v/>
      </c>
      <c r="B113">
        <f>IF(Datos!C113="","",Datos!C113)</f>
        <v/>
      </c>
      <c r="C113">
        <f>COUNT(Datos!E113:M113)</f>
        <v/>
      </c>
      <c r="D113">
        <f>IF(C113=0,"",MEDIAN(Datos!E113:M113))</f>
        <v/>
      </c>
      <c r="E113">
        <f>COUNT(Datos!W113:AE113)</f>
        <v/>
      </c>
      <c r="F113">
        <f>IF(OR(B113="",D113=""),"",B113-D113)</f>
        <v/>
      </c>
      <c r="G113">
        <f>IF(Datos!D113="","",Datos!D113)</f>
        <v/>
      </c>
      <c r="H113">
        <f>COUNT(Datos!N113:V113)</f>
        <v/>
      </c>
      <c r="I113">
        <f>IF(B113="",IF(C113&gt;=5,"falta en SV",""),IF(G113="",IF(H113&gt;=5,"no retomado en 9-11","previo"),IF(B113&lt;9,"retomado",IF(AND(C113&lt;=1,E113&gt;=3),"solo especializacion",IF(F113="","coherente",IF(F113&lt;=-1.5,"SV adelantado",IF(F113&gt;=2,"SV tarde","coherente")))))))</f>
        <v/>
      </c>
      <c r="J113">
        <f>Datos!B113</f>
        <v/>
      </c>
    </row>
    <row r="114">
      <c r="A114">
        <f>Datos!A114</f>
        <v/>
      </c>
      <c r="B114">
        <f>IF(Datos!C114="","",Datos!C114)</f>
        <v/>
      </c>
      <c r="C114">
        <f>COUNT(Datos!E114:M114)</f>
        <v/>
      </c>
      <c r="D114">
        <f>IF(C114=0,"",MEDIAN(Datos!E114:M114))</f>
        <v/>
      </c>
      <c r="E114">
        <f>COUNT(Datos!W114:AE114)</f>
        <v/>
      </c>
      <c r="F114">
        <f>IF(OR(B114="",D114=""),"",B114-D114)</f>
        <v/>
      </c>
      <c r="G114">
        <f>IF(Datos!D114="","",Datos!D114)</f>
        <v/>
      </c>
      <c r="H114">
        <f>COUNT(Datos!N114:V114)</f>
        <v/>
      </c>
      <c r="I114">
        <f>IF(B114="",IF(C114&gt;=5,"falta en SV",""),IF(G114="",IF(H114&gt;=5,"no retomado en 9-11","previo"),IF(B114&lt;9,"retomado",IF(AND(C114&lt;=1,E114&gt;=3),"solo especializacion",IF(F114="","coherente",IF(F114&lt;=-1.5,"SV adelantado",IF(F114&gt;=2,"SV tarde","coherente")))))))</f>
        <v/>
      </c>
      <c r="J114">
        <f>Datos!B114</f>
        <v/>
      </c>
    </row>
    <row r="115">
      <c r="A115">
        <f>Datos!A115</f>
        <v/>
      </c>
      <c r="B115">
        <f>IF(Datos!C115="","",Datos!C115)</f>
        <v/>
      </c>
      <c r="C115">
        <f>COUNT(Datos!E115:M115)</f>
        <v/>
      </c>
      <c r="D115">
        <f>IF(C115=0,"",MEDIAN(Datos!E115:M115))</f>
        <v/>
      </c>
      <c r="E115">
        <f>COUNT(Datos!W115:AE115)</f>
        <v/>
      </c>
      <c r="F115">
        <f>IF(OR(B115="",D115=""),"",B115-D115)</f>
        <v/>
      </c>
      <c r="G115">
        <f>IF(Datos!D115="","",Datos!D115)</f>
        <v/>
      </c>
      <c r="H115">
        <f>COUNT(Datos!N115:V115)</f>
        <v/>
      </c>
      <c r="I115">
        <f>IF(B115="",IF(C115&gt;=5,"falta en SV",""),IF(G115="",IF(H115&gt;=5,"no retomado en 9-11","previo"),IF(B115&lt;9,"retomado",IF(AND(C115&lt;=1,E115&gt;=3),"solo especializacion",IF(F115="","coherente",IF(F115&lt;=-1.5,"SV adelantado",IF(F115&gt;=2,"SV tarde","coherente")))))))</f>
        <v/>
      </c>
      <c r="J115">
        <f>Datos!B115</f>
        <v/>
      </c>
    </row>
    <row r="116">
      <c r="A116">
        <f>Datos!A116</f>
        <v/>
      </c>
      <c r="B116">
        <f>IF(Datos!C116="","",Datos!C116)</f>
        <v/>
      </c>
      <c r="C116">
        <f>COUNT(Datos!E116:M116)</f>
        <v/>
      </c>
      <c r="D116">
        <f>IF(C116=0,"",MEDIAN(Datos!E116:M116))</f>
        <v/>
      </c>
      <c r="E116">
        <f>COUNT(Datos!W116:AE116)</f>
        <v/>
      </c>
      <c r="F116">
        <f>IF(OR(B116="",D116=""),"",B116-D116)</f>
        <v/>
      </c>
      <c r="G116">
        <f>IF(Datos!D116="","",Datos!D116)</f>
        <v/>
      </c>
      <c r="H116">
        <f>COUNT(Datos!N116:V116)</f>
        <v/>
      </c>
      <c r="I116">
        <f>IF(B116="",IF(C116&gt;=5,"falta en SV",""),IF(G116="",IF(H116&gt;=5,"no retomado en 9-11","previo"),IF(B116&lt;9,"retomado",IF(AND(C116&lt;=1,E116&gt;=3),"solo especializacion",IF(F116="","coherente",IF(F116&lt;=-1.5,"SV adelantado",IF(F116&gt;=2,"SV tarde","coherente")))))))</f>
        <v/>
      </c>
      <c r="J116">
        <f>Datos!B116</f>
        <v/>
      </c>
    </row>
    <row r="117">
      <c r="A117">
        <f>Datos!A117</f>
        <v/>
      </c>
      <c r="B117">
        <f>IF(Datos!C117="","",Datos!C117)</f>
        <v/>
      </c>
      <c r="C117">
        <f>COUNT(Datos!E117:M117)</f>
        <v/>
      </c>
      <c r="D117">
        <f>IF(C117=0,"",MEDIAN(Datos!E117:M117))</f>
        <v/>
      </c>
      <c r="E117">
        <f>COUNT(Datos!W117:AE117)</f>
        <v/>
      </c>
      <c r="F117">
        <f>IF(OR(B117="",D117=""),"",B117-D117)</f>
        <v/>
      </c>
      <c r="G117">
        <f>IF(Datos!D117="","",Datos!D117)</f>
        <v/>
      </c>
      <c r="H117">
        <f>COUNT(Datos!N117:V117)</f>
        <v/>
      </c>
      <c r="I117">
        <f>IF(B117="",IF(C117&gt;=5,"falta en SV",""),IF(G117="",IF(H117&gt;=5,"no retomado en 9-11","previo"),IF(B117&lt;9,"retomado",IF(AND(C117&lt;=1,E117&gt;=3),"solo especializacion",IF(F117="","coherente",IF(F117&lt;=-1.5,"SV adelantado",IF(F117&gt;=2,"SV tarde","coherente")))))))</f>
        <v/>
      </c>
      <c r="J117">
        <f>Datos!B117</f>
        <v/>
      </c>
    </row>
    <row r="118">
      <c r="A118">
        <f>Datos!A118</f>
        <v/>
      </c>
      <c r="B118">
        <f>IF(Datos!C118="","",Datos!C118)</f>
        <v/>
      </c>
      <c r="C118">
        <f>COUNT(Datos!E118:M118)</f>
        <v/>
      </c>
      <c r="D118">
        <f>IF(C118=0,"",MEDIAN(Datos!E118:M118))</f>
        <v/>
      </c>
      <c r="E118">
        <f>COUNT(Datos!W118:AE118)</f>
        <v/>
      </c>
      <c r="F118">
        <f>IF(OR(B118="",D118=""),"",B118-D118)</f>
        <v/>
      </c>
      <c r="G118">
        <f>IF(Datos!D118="","",Datos!D118)</f>
        <v/>
      </c>
      <c r="H118">
        <f>COUNT(Datos!N118:V118)</f>
        <v/>
      </c>
      <c r="I118">
        <f>IF(B118="",IF(C118&gt;=5,"falta en SV",""),IF(G118="",IF(H118&gt;=5,"no retomado en 9-11","previo"),IF(B118&lt;9,"retomado",IF(AND(C118&lt;=1,E118&gt;=3),"solo especializacion",IF(F118="","coherente",IF(F118&lt;=-1.5,"SV adelantado",IF(F118&gt;=2,"SV tarde","coherente")))))))</f>
        <v/>
      </c>
      <c r="J118">
        <f>Datos!B118</f>
        <v/>
      </c>
    </row>
    <row r="119">
      <c r="A119">
        <f>Datos!A119</f>
        <v/>
      </c>
      <c r="B119">
        <f>IF(Datos!C119="","",Datos!C119)</f>
        <v/>
      </c>
      <c r="C119">
        <f>COUNT(Datos!E119:M119)</f>
        <v/>
      </c>
      <c r="D119">
        <f>IF(C119=0,"",MEDIAN(Datos!E119:M119))</f>
        <v/>
      </c>
      <c r="E119">
        <f>COUNT(Datos!W119:AE119)</f>
        <v/>
      </c>
      <c r="F119">
        <f>IF(OR(B119="",D119=""),"",B119-D119)</f>
        <v/>
      </c>
      <c r="G119">
        <f>IF(Datos!D119="","",Datos!D119)</f>
        <v/>
      </c>
      <c r="H119">
        <f>COUNT(Datos!N119:V119)</f>
        <v/>
      </c>
      <c r="I119">
        <f>IF(B119="",IF(C119&gt;=5,"falta en SV",""),IF(G119="",IF(H119&gt;=5,"no retomado en 9-11","previo"),IF(B119&lt;9,"retomado",IF(AND(C119&lt;=1,E119&gt;=3),"solo especializacion",IF(F119="","coherente",IF(F119&lt;=-1.5,"SV adelantado",IF(F119&gt;=2,"SV tarde","coherente")))))))</f>
        <v/>
      </c>
      <c r="J119">
        <f>Datos!B119</f>
        <v/>
      </c>
    </row>
    <row r="120">
      <c r="A120">
        <f>Datos!A120</f>
        <v/>
      </c>
      <c r="B120">
        <f>IF(Datos!C120="","",Datos!C120)</f>
        <v/>
      </c>
      <c r="C120">
        <f>COUNT(Datos!E120:M120)</f>
        <v/>
      </c>
      <c r="D120">
        <f>IF(C120=0,"",MEDIAN(Datos!E120:M120))</f>
        <v/>
      </c>
      <c r="E120">
        <f>COUNT(Datos!W120:AE120)</f>
        <v/>
      </c>
      <c r="F120">
        <f>IF(OR(B120="",D120=""),"",B120-D120)</f>
        <v/>
      </c>
      <c r="G120">
        <f>IF(Datos!D120="","",Datos!D120)</f>
        <v/>
      </c>
      <c r="H120">
        <f>COUNT(Datos!N120:V120)</f>
        <v/>
      </c>
      <c r="I120">
        <f>IF(B120="",IF(C120&gt;=5,"falta en SV",""),IF(G120="",IF(H120&gt;=5,"no retomado en 9-11","previo"),IF(B120&lt;9,"retomado",IF(AND(C120&lt;=1,E120&gt;=3),"solo especializacion",IF(F120="","coherente",IF(F120&lt;=-1.5,"SV adelantado",IF(F120&gt;=2,"SV tarde","coherente")))))))</f>
        <v/>
      </c>
      <c r="J120">
        <f>Datos!B120</f>
        <v/>
      </c>
    </row>
    <row r="121">
      <c r="A121">
        <f>Datos!A121</f>
        <v/>
      </c>
      <c r="B121">
        <f>IF(Datos!C121="","",Datos!C121)</f>
        <v/>
      </c>
      <c r="C121">
        <f>COUNT(Datos!E121:M121)</f>
        <v/>
      </c>
      <c r="D121">
        <f>IF(C121=0,"",MEDIAN(Datos!E121:M121))</f>
        <v/>
      </c>
      <c r="E121">
        <f>COUNT(Datos!W121:AE121)</f>
        <v/>
      </c>
      <c r="F121">
        <f>IF(OR(B121="",D121=""),"",B121-D121)</f>
        <v/>
      </c>
      <c r="G121">
        <f>IF(Datos!D121="","",Datos!D121)</f>
        <v/>
      </c>
      <c r="H121">
        <f>COUNT(Datos!N121:V121)</f>
        <v/>
      </c>
      <c r="I121">
        <f>IF(B121="",IF(C121&gt;=5,"falta en SV",""),IF(G121="",IF(H121&gt;=5,"no retomado en 9-11","previo"),IF(B121&lt;9,"retomado",IF(AND(C121&lt;=1,E121&gt;=3),"solo especializacion",IF(F121="","coherente",IF(F121&lt;=-1.5,"SV adelantado",IF(F121&gt;=2,"SV tarde","coherente")))))))</f>
        <v/>
      </c>
      <c r="J121">
        <f>Datos!B121</f>
        <v/>
      </c>
    </row>
    <row r="122">
      <c r="A122">
        <f>Datos!A122</f>
        <v/>
      </c>
      <c r="B122">
        <f>IF(Datos!C122="","",Datos!C122)</f>
        <v/>
      </c>
      <c r="C122">
        <f>COUNT(Datos!E122:M122)</f>
        <v/>
      </c>
      <c r="D122">
        <f>IF(C122=0,"",MEDIAN(Datos!E122:M122))</f>
        <v/>
      </c>
      <c r="E122">
        <f>COUNT(Datos!W122:AE122)</f>
        <v/>
      </c>
      <c r="F122">
        <f>IF(OR(B122="",D122=""),"",B122-D122)</f>
        <v/>
      </c>
      <c r="G122">
        <f>IF(Datos!D122="","",Datos!D122)</f>
        <v/>
      </c>
      <c r="H122">
        <f>COUNT(Datos!N122:V122)</f>
        <v/>
      </c>
      <c r="I122">
        <f>IF(B122="",IF(C122&gt;=5,"falta en SV",""),IF(G122="",IF(H122&gt;=5,"no retomado en 9-11","previo"),IF(B122&lt;9,"retomado",IF(AND(C122&lt;=1,E122&gt;=3),"solo especializacion",IF(F122="","coherente",IF(F122&lt;=-1.5,"SV adelantado",IF(F122&gt;=2,"SV tarde","coherente")))))))</f>
        <v/>
      </c>
      <c r="J122">
        <f>Datos!B122</f>
        <v/>
      </c>
    </row>
    <row r="123">
      <c r="A123">
        <f>Datos!A123</f>
        <v/>
      </c>
      <c r="B123">
        <f>IF(Datos!C123="","",Datos!C123)</f>
        <v/>
      </c>
      <c r="C123">
        <f>COUNT(Datos!E123:M123)</f>
        <v/>
      </c>
      <c r="D123">
        <f>IF(C123=0,"",MEDIAN(Datos!E123:M123))</f>
        <v/>
      </c>
      <c r="E123">
        <f>COUNT(Datos!W123:AE123)</f>
        <v/>
      </c>
      <c r="F123">
        <f>IF(OR(B123="",D123=""),"",B123-D123)</f>
        <v/>
      </c>
      <c r="G123">
        <f>IF(Datos!D123="","",Datos!D123)</f>
        <v/>
      </c>
      <c r="H123">
        <f>COUNT(Datos!N123:V123)</f>
        <v/>
      </c>
      <c r="I123">
        <f>IF(B123="",IF(C123&gt;=5,"falta en SV",""),IF(G123="",IF(H123&gt;=5,"no retomado en 9-11","previo"),IF(B123&lt;9,"retomado",IF(AND(C123&lt;=1,E123&gt;=3),"solo especializacion",IF(F123="","coherente",IF(F123&lt;=-1.5,"SV adelantado",IF(F123&gt;=2,"SV tarde","coherente")))))))</f>
        <v/>
      </c>
      <c r="J123">
        <f>Datos!B123</f>
        <v/>
      </c>
    </row>
    <row r="124">
      <c r="A124">
        <f>Datos!A124</f>
        <v/>
      </c>
      <c r="B124">
        <f>IF(Datos!C124="","",Datos!C124)</f>
        <v/>
      </c>
      <c r="C124">
        <f>COUNT(Datos!E124:M124)</f>
        <v/>
      </c>
      <c r="D124">
        <f>IF(C124=0,"",MEDIAN(Datos!E124:M124))</f>
        <v/>
      </c>
      <c r="E124">
        <f>COUNT(Datos!W124:AE124)</f>
        <v/>
      </c>
      <c r="F124">
        <f>IF(OR(B124="",D124=""),"",B124-D124)</f>
        <v/>
      </c>
      <c r="G124">
        <f>IF(Datos!D124="","",Datos!D124)</f>
        <v/>
      </c>
      <c r="H124">
        <f>COUNT(Datos!N124:V124)</f>
        <v/>
      </c>
      <c r="I124">
        <f>IF(B124="",IF(C124&gt;=5,"falta en SV",""),IF(G124="",IF(H124&gt;=5,"no retomado en 9-11","previo"),IF(B124&lt;9,"retomado",IF(AND(C124&lt;=1,E124&gt;=3),"solo especializacion",IF(F124="","coherente",IF(F124&lt;=-1.5,"SV adelantado",IF(F124&gt;=2,"SV tarde","coherente")))))))</f>
        <v/>
      </c>
      <c r="J124">
        <f>Datos!B124</f>
        <v/>
      </c>
    </row>
    <row r="125">
      <c r="A125">
        <f>Datos!A125</f>
        <v/>
      </c>
      <c r="B125">
        <f>IF(Datos!C125="","",Datos!C125)</f>
        <v/>
      </c>
      <c r="C125">
        <f>COUNT(Datos!E125:M125)</f>
        <v/>
      </c>
      <c r="D125">
        <f>IF(C125=0,"",MEDIAN(Datos!E125:M125))</f>
        <v/>
      </c>
      <c r="E125">
        <f>COUNT(Datos!W125:AE125)</f>
        <v/>
      </c>
      <c r="F125">
        <f>IF(OR(B125="",D125=""),"",B125-D125)</f>
        <v/>
      </c>
      <c r="G125">
        <f>IF(Datos!D125="","",Datos!D125)</f>
        <v/>
      </c>
      <c r="H125">
        <f>COUNT(Datos!N125:V125)</f>
        <v/>
      </c>
      <c r="I125">
        <f>IF(B125="",IF(C125&gt;=5,"falta en SV",""),IF(G125="",IF(H125&gt;=5,"no retomado en 9-11","previo"),IF(B125&lt;9,"retomado",IF(AND(C125&lt;=1,E125&gt;=3),"solo especializacion",IF(F125="","coherente",IF(F125&lt;=-1.5,"SV adelantado",IF(F125&gt;=2,"SV tarde","coherente")))))))</f>
        <v/>
      </c>
      <c r="J125">
        <f>Datos!B125</f>
        <v/>
      </c>
    </row>
    <row r="126">
      <c r="A126">
        <f>Datos!A126</f>
        <v/>
      </c>
      <c r="B126">
        <f>IF(Datos!C126="","",Datos!C126)</f>
        <v/>
      </c>
      <c r="C126">
        <f>COUNT(Datos!E126:M126)</f>
        <v/>
      </c>
      <c r="D126">
        <f>IF(C126=0,"",MEDIAN(Datos!E126:M126))</f>
        <v/>
      </c>
      <c r="E126">
        <f>COUNT(Datos!W126:AE126)</f>
        <v/>
      </c>
      <c r="F126">
        <f>IF(OR(B126="",D126=""),"",B126-D126)</f>
        <v/>
      </c>
      <c r="G126">
        <f>IF(Datos!D126="","",Datos!D126)</f>
        <v/>
      </c>
      <c r="H126">
        <f>COUNT(Datos!N126:V126)</f>
        <v/>
      </c>
      <c r="I126">
        <f>IF(B126="",IF(C126&gt;=5,"falta en SV",""),IF(G126="",IF(H126&gt;=5,"no retomado en 9-11","previo"),IF(B126&lt;9,"retomado",IF(AND(C126&lt;=1,E126&gt;=3),"solo especializacion",IF(F126="","coherente",IF(F126&lt;=-1.5,"SV adelantado",IF(F126&gt;=2,"SV tarde","coherente")))))))</f>
        <v/>
      </c>
      <c r="J126">
        <f>Datos!B126</f>
        <v/>
      </c>
    </row>
    <row r="127">
      <c r="A127">
        <f>Datos!A127</f>
        <v/>
      </c>
      <c r="B127">
        <f>IF(Datos!C127="","",Datos!C127)</f>
        <v/>
      </c>
      <c r="C127">
        <f>COUNT(Datos!E127:M127)</f>
        <v/>
      </c>
      <c r="D127">
        <f>IF(C127=0,"",MEDIAN(Datos!E127:M127))</f>
        <v/>
      </c>
      <c r="E127">
        <f>COUNT(Datos!W127:AE127)</f>
        <v/>
      </c>
      <c r="F127">
        <f>IF(OR(B127="",D127=""),"",B127-D127)</f>
        <v/>
      </c>
      <c r="G127">
        <f>IF(Datos!D127="","",Datos!D127)</f>
        <v/>
      </c>
      <c r="H127">
        <f>COUNT(Datos!N127:V127)</f>
        <v/>
      </c>
      <c r="I127">
        <f>IF(B127="",IF(C127&gt;=5,"falta en SV",""),IF(G127="",IF(H127&gt;=5,"no retomado en 9-11","previo"),IF(B127&lt;9,"retomado",IF(AND(C127&lt;=1,E127&gt;=3),"solo especializacion",IF(F127="","coherente",IF(F127&lt;=-1.5,"SV adelantado",IF(F127&gt;=2,"SV tarde","coherente")))))))</f>
        <v/>
      </c>
      <c r="J127">
        <f>Datos!B127</f>
        <v/>
      </c>
    </row>
    <row r="128">
      <c r="A128">
        <f>Datos!A128</f>
        <v/>
      </c>
      <c r="B128">
        <f>IF(Datos!C128="","",Datos!C128)</f>
        <v/>
      </c>
      <c r="C128">
        <f>COUNT(Datos!E128:M128)</f>
        <v/>
      </c>
      <c r="D128">
        <f>IF(C128=0,"",MEDIAN(Datos!E128:M128))</f>
        <v/>
      </c>
      <c r="E128">
        <f>COUNT(Datos!W128:AE128)</f>
        <v/>
      </c>
      <c r="F128">
        <f>IF(OR(B128="",D128=""),"",B128-D128)</f>
        <v/>
      </c>
      <c r="G128">
        <f>IF(Datos!D128="","",Datos!D128)</f>
        <v/>
      </c>
      <c r="H128">
        <f>COUNT(Datos!N128:V128)</f>
        <v/>
      </c>
      <c r="I128">
        <f>IF(B128="",IF(C128&gt;=5,"falta en SV",""),IF(G128="",IF(H128&gt;=5,"no retomado en 9-11","previo"),IF(B128&lt;9,"retomado",IF(AND(C128&lt;=1,E128&gt;=3),"solo especializacion",IF(F128="","coherente",IF(F128&lt;=-1.5,"SV adelantado",IF(F128&gt;=2,"SV tarde","coherente")))))))</f>
        <v/>
      </c>
      <c r="J128">
        <f>Datos!B128</f>
        <v/>
      </c>
    </row>
    <row r="129">
      <c r="A129">
        <f>Datos!A129</f>
        <v/>
      </c>
      <c r="B129">
        <f>IF(Datos!C129="","",Datos!C129)</f>
        <v/>
      </c>
      <c r="C129">
        <f>COUNT(Datos!E129:M129)</f>
        <v/>
      </c>
      <c r="D129">
        <f>IF(C129=0,"",MEDIAN(Datos!E129:M129))</f>
        <v/>
      </c>
      <c r="E129">
        <f>COUNT(Datos!W129:AE129)</f>
        <v/>
      </c>
      <c r="F129">
        <f>IF(OR(B129="",D129=""),"",B129-D129)</f>
        <v/>
      </c>
      <c r="G129">
        <f>IF(Datos!D129="","",Datos!D129)</f>
        <v/>
      </c>
      <c r="H129">
        <f>COUNT(Datos!N129:V129)</f>
        <v/>
      </c>
      <c r="I129">
        <f>IF(B129="",IF(C129&gt;=5,"falta en SV",""),IF(G129="",IF(H129&gt;=5,"no retomado en 9-11","previo"),IF(B129&lt;9,"retomado",IF(AND(C129&lt;=1,E129&gt;=3),"solo especializacion",IF(F129="","coherente",IF(F129&lt;=-1.5,"SV adelantado",IF(F129&gt;=2,"SV tarde","coherente")))))))</f>
        <v/>
      </c>
      <c r="J129">
        <f>Datos!B129</f>
        <v/>
      </c>
    </row>
    <row r="130">
      <c r="A130">
        <f>Datos!A130</f>
        <v/>
      </c>
      <c r="B130">
        <f>IF(Datos!C130="","",Datos!C130)</f>
        <v/>
      </c>
      <c r="C130">
        <f>COUNT(Datos!E130:M130)</f>
        <v/>
      </c>
      <c r="D130">
        <f>IF(C130=0,"",MEDIAN(Datos!E130:M130))</f>
        <v/>
      </c>
      <c r="E130">
        <f>COUNT(Datos!W130:AE130)</f>
        <v/>
      </c>
      <c r="F130">
        <f>IF(OR(B130="",D130=""),"",B130-D130)</f>
        <v/>
      </c>
      <c r="G130">
        <f>IF(Datos!D130="","",Datos!D130)</f>
        <v/>
      </c>
      <c r="H130">
        <f>COUNT(Datos!N130:V130)</f>
        <v/>
      </c>
      <c r="I130">
        <f>IF(B130="",IF(C130&gt;=5,"falta en SV",""),IF(G130="",IF(H130&gt;=5,"no retomado en 9-11","previo"),IF(B130&lt;9,"retomado",IF(AND(C130&lt;=1,E130&gt;=3),"solo especializacion",IF(F130="","coherente",IF(F130&lt;=-1.5,"SV adelantado",IF(F130&gt;=2,"SV tarde","coherente")))))))</f>
        <v/>
      </c>
      <c r="J130">
        <f>Datos!B130</f>
        <v/>
      </c>
    </row>
    <row r="131">
      <c r="A131">
        <f>Datos!A131</f>
        <v/>
      </c>
      <c r="B131">
        <f>IF(Datos!C131="","",Datos!C131)</f>
        <v/>
      </c>
      <c r="C131">
        <f>COUNT(Datos!E131:M131)</f>
        <v/>
      </c>
      <c r="D131">
        <f>IF(C131=0,"",MEDIAN(Datos!E131:M131))</f>
        <v/>
      </c>
      <c r="E131">
        <f>COUNT(Datos!W131:AE131)</f>
        <v/>
      </c>
      <c r="F131">
        <f>IF(OR(B131="",D131=""),"",B131-D131)</f>
        <v/>
      </c>
      <c r="G131">
        <f>IF(Datos!D131="","",Datos!D131)</f>
        <v/>
      </c>
      <c r="H131">
        <f>COUNT(Datos!N131:V131)</f>
        <v/>
      </c>
      <c r="I131">
        <f>IF(B131="",IF(C131&gt;=5,"falta en SV",""),IF(G131="",IF(H131&gt;=5,"no retomado en 9-11","previo"),IF(B131&lt;9,"retomado",IF(AND(C131&lt;=1,E131&gt;=3),"solo especializacion",IF(F131="","coherente",IF(F131&lt;=-1.5,"SV adelantado",IF(F131&gt;=2,"SV tarde","coherente")))))))</f>
        <v/>
      </c>
      <c r="J131">
        <f>Datos!B131</f>
        <v/>
      </c>
    </row>
    <row r="132">
      <c r="A132">
        <f>Datos!A132</f>
        <v/>
      </c>
      <c r="B132">
        <f>IF(Datos!C132="","",Datos!C132)</f>
        <v/>
      </c>
      <c r="C132">
        <f>COUNT(Datos!E132:M132)</f>
        <v/>
      </c>
      <c r="D132">
        <f>IF(C132=0,"",MEDIAN(Datos!E132:M132))</f>
        <v/>
      </c>
      <c r="E132">
        <f>COUNT(Datos!W132:AE132)</f>
        <v/>
      </c>
      <c r="F132">
        <f>IF(OR(B132="",D132=""),"",B132-D132)</f>
        <v/>
      </c>
      <c r="G132">
        <f>IF(Datos!D132="","",Datos!D132)</f>
        <v/>
      </c>
      <c r="H132">
        <f>COUNT(Datos!N132:V132)</f>
        <v/>
      </c>
      <c r="I132">
        <f>IF(B132="",IF(C132&gt;=5,"falta en SV",""),IF(G132="",IF(H132&gt;=5,"no retomado en 9-11","previo"),IF(B132&lt;9,"retomado",IF(AND(C132&lt;=1,E132&gt;=3),"solo especializacion",IF(F132="","coherente",IF(F132&lt;=-1.5,"SV adelantado",IF(F132&gt;=2,"SV tarde","coherente")))))))</f>
        <v/>
      </c>
      <c r="J132">
        <f>Datos!B132</f>
        <v/>
      </c>
    </row>
    <row r="133">
      <c r="A133">
        <f>Datos!A133</f>
        <v/>
      </c>
      <c r="B133">
        <f>IF(Datos!C133="","",Datos!C133)</f>
        <v/>
      </c>
      <c r="C133">
        <f>COUNT(Datos!E133:M133)</f>
        <v/>
      </c>
      <c r="D133">
        <f>IF(C133=0,"",MEDIAN(Datos!E133:M133))</f>
        <v/>
      </c>
      <c r="E133">
        <f>COUNT(Datos!W133:AE133)</f>
        <v/>
      </c>
      <c r="F133">
        <f>IF(OR(B133="",D133=""),"",B133-D133)</f>
        <v/>
      </c>
      <c r="G133">
        <f>IF(Datos!D133="","",Datos!D133)</f>
        <v/>
      </c>
      <c r="H133">
        <f>COUNT(Datos!N133:V133)</f>
        <v/>
      </c>
      <c r="I133">
        <f>IF(B133="",IF(C133&gt;=5,"falta en SV",""),IF(G133="",IF(H133&gt;=5,"no retomado en 9-11","previo"),IF(B133&lt;9,"retomado",IF(AND(C133&lt;=1,E133&gt;=3),"solo especializacion",IF(F133="","coherente",IF(F133&lt;=-1.5,"SV adelantado",IF(F133&gt;=2,"SV tarde","coherente")))))))</f>
        <v/>
      </c>
      <c r="J133">
        <f>Datos!B133</f>
        <v/>
      </c>
    </row>
    <row r="134">
      <c r="A134">
        <f>Datos!A134</f>
        <v/>
      </c>
      <c r="B134">
        <f>IF(Datos!C134="","",Datos!C134)</f>
        <v/>
      </c>
      <c r="C134">
        <f>COUNT(Datos!E134:M134)</f>
        <v/>
      </c>
      <c r="D134">
        <f>IF(C134=0,"",MEDIAN(Datos!E134:M134))</f>
        <v/>
      </c>
      <c r="E134">
        <f>COUNT(Datos!W134:AE134)</f>
        <v/>
      </c>
      <c r="F134">
        <f>IF(OR(B134="",D134=""),"",B134-D134)</f>
        <v/>
      </c>
      <c r="G134">
        <f>IF(Datos!D134="","",Datos!D134)</f>
        <v/>
      </c>
      <c r="H134">
        <f>COUNT(Datos!N134:V134)</f>
        <v/>
      </c>
      <c r="I134">
        <f>IF(B134="",IF(C134&gt;=5,"falta en SV",""),IF(G134="",IF(H134&gt;=5,"no retomado en 9-11","previo"),IF(B134&lt;9,"retomado",IF(AND(C134&lt;=1,E134&gt;=3),"solo especializacion",IF(F134="","coherente",IF(F134&lt;=-1.5,"SV adelantado",IF(F134&gt;=2,"SV tarde","coherente")))))))</f>
        <v/>
      </c>
      <c r="J134">
        <f>Datos!B134</f>
        <v/>
      </c>
    </row>
    <row r="135">
      <c r="A135">
        <f>Datos!A135</f>
        <v/>
      </c>
      <c r="B135">
        <f>IF(Datos!C135="","",Datos!C135)</f>
        <v/>
      </c>
      <c r="C135">
        <f>COUNT(Datos!E135:M135)</f>
        <v/>
      </c>
      <c r="D135">
        <f>IF(C135=0,"",MEDIAN(Datos!E135:M135))</f>
        <v/>
      </c>
      <c r="E135">
        <f>COUNT(Datos!W135:AE135)</f>
        <v/>
      </c>
      <c r="F135">
        <f>IF(OR(B135="",D135=""),"",B135-D135)</f>
        <v/>
      </c>
      <c r="G135">
        <f>IF(Datos!D135="","",Datos!D135)</f>
        <v/>
      </c>
      <c r="H135">
        <f>COUNT(Datos!N135:V135)</f>
        <v/>
      </c>
      <c r="I135">
        <f>IF(B135="",IF(C135&gt;=5,"falta en SV",""),IF(G135="",IF(H135&gt;=5,"no retomado en 9-11","previo"),IF(B135&lt;9,"retomado",IF(AND(C135&lt;=1,E135&gt;=3),"solo especializacion",IF(F135="","coherente",IF(F135&lt;=-1.5,"SV adelantado",IF(F135&gt;=2,"SV tarde","coherente")))))))</f>
        <v/>
      </c>
      <c r="J135">
        <f>Datos!B135</f>
        <v/>
      </c>
    </row>
    <row r="136">
      <c r="A136">
        <f>Datos!A136</f>
        <v/>
      </c>
      <c r="B136">
        <f>IF(Datos!C136="","",Datos!C136)</f>
        <v/>
      </c>
      <c r="C136">
        <f>COUNT(Datos!E136:M136)</f>
        <v/>
      </c>
      <c r="D136">
        <f>IF(C136=0,"",MEDIAN(Datos!E136:M136))</f>
        <v/>
      </c>
      <c r="E136">
        <f>COUNT(Datos!W136:AE136)</f>
        <v/>
      </c>
      <c r="F136">
        <f>IF(OR(B136="",D136=""),"",B136-D136)</f>
        <v/>
      </c>
      <c r="G136">
        <f>IF(Datos!D136="","",Datos!D136)</f>
        <v/>
      </c>
      <c r="H136">
        <f>COUNT(Datos!N136:V136)</f>
        <v/>
      </c>
      <c r="I136">
        <f>IF(B136="",IF(C136&gt;=5,"falta en SV",""),IF(G136="",IF(H136&gt;=5,"no retomado en 9-11","previo"),IF(B136&lt;9,"retomado",IF(AND(C136&lt;=1,E136&gt;=3),"solo especializacion",IF(F136="","coherente",IF(F136&lt;=-1.5,"SV adelantado",IF(F136&gt;=2,"SV tarde","coherente")))))))</f>
        <v/>
      </c>
      <c r="J136">
        <f>Datos!B136</f>
        <v/>
      </c>
    </row>
    <row r="137">
      <c r="A137">
        <f>Datos!A137</f>
        <v/>
      </c>
      <c r="B137">
        <f>IF(Datos!C137="","",Datos!C137)</f>
        <v/>
      </c>
      <c r="C137">
        <f>COUNT(Datos!E137:M137)</f>
        <v/>
      </c>
      <c r="D137">
        <f>IF(C137=0,"",MEDIAN(Datos!E137:M137))</f>
        <v/>
      </c>
      <c r="E137">
        <f>COUNT(Datos!W137:AE137)</f>
        <v/>
      </c>
      <c r="F137">
        <f>IF(OR(B137="",D137=""),"",B137-D137)</f>
        <v/>
      </c>
      <c r="G137">
        <f>IF(Datos!D137="","",Datos!D137)</f>
        <v/>
      </c>
      <c r="H137">
        <f>COUNT(Datos!N137:V137)</f>
        <v/>
      </c>
      <c r="I137">
        <f>IF(B137="",IF(C137&gt;=5,"falta en SV",""),IF(G137="",IF(H137&gt;=5,"no retomado en 9-11","previo"),IF(B137&lt;9,"retomado",IF(AND(C137&lt;=1,E137&gt;=3),"solo especializacion",IF(F137="","coherente",IF(F137&lt;=-1.5,"SV adelantado",IF(F137&gt;=2,"SV tarde","coherente")))))))</f>
        <v/>
      </c>
      <c r="J137">
        <f>Datos!B137</f>
        <v/>
      </c>
    </row>
    <row r="138">
      <c r="A138">
        <f>Datos!A138</f>
        <v/>
      </c>
      <c r="B138">
        <f>IF(Datos!C138="","",Datos!C138)</f>
        <v/>
      </c>
      <c r="C138">
        <f>COUNT(Datos!E138:M138)</f>
        <v/>
      </c>
      <c r="D138">
        <f>IF(C138=0,"",MEDIAN(Datos!E138:M138))</f>
        <v/>
      </c>
      <c r="E138">
        <f>COUNT(Datos!W138:AE138)</f>
        <v/>
      </c>
      <c r="F138">
        <f>IF(OR(B138="",D138=""),"",B138-D138)</f>
        <v/>
      </c>
      <c r="G138">
        <f>IF(Datos!D138="","",Datos!D138)</f>
        <v/>
      </c>
      <c r="H138">
        <f>COUNT(Datos!N138:V138)</f>
        <v/>
      </c>
      <c r="I138">
        <f>IF(B138="",IF(C138&gt;=5,"falta en SV",""),IF(G138="",IF(H138&gt;=5,"no retomado en 9-11","previo"),IF(B138&lt;9,"retomado",IF(AND(C138&lt;=1,E138&gt;=3),"solo especializacion",IF(F138="","coherente",IF(F138&lt;=-1.5,"SV adelantado",IF(F138&gt;=2,"SV tarde","coherente")))))))</f>
        <v/>
      </c>
      <c r="J138">
        <f>Datos!B138</f>
        <v/>
      </c>
    </row>
    <row r="139">
      <c r="A139">
        <f>Datos!A139</f>
        <v/>
      </c>
      <c r="B139">
        <f>IF(Datos!C139="","",Datos!C139)</f>
        <v/>
      </c>
      <c r="C139">
        <f>COUNT(Datos!E139:M139)</f>
        <v/>
      </c>
      <c r="D139">
        <f>IF(C139=0,"",MEDIAN(Datos!E139:M139))</f>
        <v/>
      </c>
      <c r="E139">
        <f>COUNT(Datos!W139:AE139)</f>
        <v/>
      </c>
      <c r="F139">
        <f>IF(OR(B139="",D139=""),"",B139-D139)</f>
        <v/>
      </c>
      <c r="G139">
        <f>IF(Datos!D139="","",Datos!D139)</f>
        <v/>
      </c>
      <c r="H139">
        <f>COUNT(Datos!N139:V139)</f>
        <v/>
      </c>
      <c r="I139">
        <f>IF(B139="",IF(C139&gt;=5,"falta en SV",""),IF(G139="",IF(H139&gt;=5,"no retomado en 9-11","previo"),IF(B139&lt;9,"retomado",IF(AND(C139&lt;=1,E139&gt;=3),"solo especializacion",IF(F139="","coherente",IF(F139&lt;=-1.5,"SV adelantado",IF(F139&gt;=2,"SV tarde","coherente")))))))</f>
        <v/>
      </c>
      <c r="J139">
        <f>Datos!B139</f>
        <v/>
      </c>
    </row>
    <row r="140">
      <c r="A140">
        <f>Datos!A140</f>
        <v/>
      </c>
      <c r="B140">
        <f>IF(Datos!C140="","",Datos!C140)</f>
        <v/>
      </c>
      <c r="C140">
        <f>COUNT(Datos!E140:M140)</f>
        <v/>
      </c>
      <c r="D140">
        <f>IF(C140=0,"",MEDIAN(Datos!E140:M140))</f>
        <v/>
      </c>
      <c r="E140">
        <f>COUNT(Datos!W140:AE140)</f>
        <v/>
      </c>
      <c r="F140">
        <f>IF(OR(B140="",D140=""),"",B140-D140)</f>
        <v/>
      </c>
      <c r="G140">
        <f>IF(Datos!D140="","",Datos!D140)</f>
        <v/>
      </c>
      <c r="H140">
        <f>COUNT(Datos!N140:V140)</f>
        <v/>
      </c>
      <c r="I140">
        <f>IF(B140="",IF(C140&gt;=5,"falta en SV",""),IF(G140="",IF(H140&gt;=5,"no retomado en 9-11","previo"),IF(B140&lt;9,"retomado",IF(AND(C140&lt;=1,E140&gt;=3),"solo especializacion",IF(F140="","coherente",IF(F140&lt;=-1.5,"SV adelantado",IF(F140&gt;=2,"SV tarde","coherente")))))))</f>
        <v/>
      </c>
      <c r="J140">
        <f>Datos!B140</f>
        <v/>
      </c>
    </row>
    <row r="141">
      <c r="A141">
        <f>Datos!A141</f>
        <v/>
      </c>
      <c r="B141">
        <f>IF(Datos!C141="","",Datos!C141)</f>
        <v/>
      </c>
      <c r="C141">
        <f>COUNT(Datos!E141:M141)</f>
        <v/>
      </c>
      <c r="D141">
        <f>IF(C141=0,"",MEDIAN(Datos!E141:M141))</f>
        <v/>
      </c>
      <c r="E141">
        <f>COUNT(Datos!W141:AE141)</f>
        <v/>
      </c>
      <c r="F141">
        <f>IF(OR(B141="",D141=""),"",B141-D141)</f>
        <v/>
      </c>
      <c r="G141">
        <f>IF(Datos!D141="","",Datos!D141)</f>
        <v/>
      </c>
      <c r="H141">
        <f>COUNT(Datos!N141:V141)</f>
        <v/>
      </c>
      <c r="I141">
        <f>IF(B141="",IF(C141&gt;=5,"falta en SV",""),IF(G141="",IF(H141&gt;=5,"no retomado en 9-11","previo"),IF(B141&lt;9,"retomado",IF(AND(C141&lt;=1,E141&gt;=3),"solo especializacion",IF(F141="","coherente",IF(F141&lt;=-1.5,"SV adelantado",IF(F141&gt;=2,"SV tarde","coherente")))))))</f>
        <v/>
      </c>
      <c r="J141">
        <f>Datos!B141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COUNTIF(Datos!B2:B141,A2)</f>
        <v/>
      </c>
    </row>
    <row r="3">
      <c r="A3" t="inlineStr">
        <is>
          <t>no_retomado</t>
        </is>
      </c>
      <c r="B3">
        <f>COUNTIF(Datos!B2:B141,A3)</f>
        <v/>
      </c>
    </row>
    <row r="4">
      <c r="A4" t="inlineStr">
        <is>
          <t>tardio</t>
        </is>
      </c>
      <c r="B4">
        <f>COUNTIF(Datos!B2:B141,A4)</f>
        <v/>
      </c>
    </row>
    <row r="5">
      <c r="A5" t="inlineStr">
        <is>
          <t>solo_especializacion</t>
        </is>
      </c>
      <c r="B5">
        <f>COUNTIF(Datos!B2:B141,A5)</f>
        <v/>
      </c>
    </row>
    <row r="6">
      <c r="A6" t="inlineStr">
        <is>
          <t>adelantado</t>
        </is>
      </c>
      <c r="B6">
        <f>COUNTIF(Datos!B2:B141,A6)</f>
        <v/>
      </c>
    </row>
    <row r="7">
      <c r="A7" t="inlineStr">
        <is>
          <t>sin_referente</t>
        </is>
      </c>
      <c r="B7">
        <f>COUNTIF(Datos!B2:B141,A7)</f>
        <v/>
      </c>
    </row>
    <row r="8">
      <c r="A8" t="inlineStr">
        <is>
          <t>alineado</t>
        </is>
      </c>
      <c r="B8">
        <f>COUNTIF(Datos!B2:B141,A8)</f>
        <v/>
      </c>
    </row>
    <row r="9">
      <c r="A9" t="inlineStr">
        <is>
          <t>retomado</t>
        </is>
      </c>
      <c r="B9">
        <f>COUNTIF(Datos!B2:B141,A9)</f>
        <v/>
      </c>
    </row>
    <row r="10">
      <c r="A10" t="inlineStr">
        <is>
          <t>previo</t>
        </is>
      </c>
      <c r="B10">
        <f>COUNTIF(Datos!B2:B141,A10)</f>
        <v/>
      </c>
    </row>
    <row r="11">
      <c r="A11" t="inlineStr">
        <is>
          <t>incierto</t>
        </is>
      </c>
      <c r="B11">
        <f>COUNTIF(Datos!B2:B141,A11)</f>
        <v/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