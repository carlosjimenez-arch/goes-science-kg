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9-11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9-11</t>
        </is>
      </c>
      <c r="O1" s="1" t="inlineStr">
        <is>
          <t>EE nucleo 9-11</t>
        </is>
      </c>
      <c r="P1" s="1" t="inlineStr">
        <is>
          <t>ENG nucleo 9-11</t>
        </is>
      </c>
      <c r="Q1" s="1" t="inlineStr">
        <is>
          <t>HK nucleo 9-11</t>
        </is>
      </c>
      <c r="R1" s="1" t="inlineStr">
        <is>
          <t>JP nucleo 9-11</t>
        </is>
      </c>
      <c r="S1" s="1" t="inlineStr">
        <is>
          <t>KR nucleo 9-11</t>
        </is>
      </c>
      <c r="T1" s="1" t="inlineStr">
        <is>
          <t>ON nucleo 9-11</t>
        </is>
      </c>
      <c r="U1" s="1" t="inlineStr">
        <is>
          <t>SG nucleo 9-11</t>
        </is>
      </c>
      <c r="V1" s="1" t="inlineStr">
        <is>
          <t>TW nucleo 9-11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Calor latente</t>
        </is>
      </c>
      <c r="B2" t="inlineStr">
        <is>
          <t>alineado</t>
        </is>
      </c>
      <c r="C2" t="n">
        <v>6</v>
      </c>
      <c r="D2" t="n">
        <v>9</v>
      </c>
      <c r="F2" t="n">
        <v>8</v>
      </c>
      <c r="G2" t="n">
        <v>6</v>
      </c>
      <c r="L2" t="n">
        <v>9.5</v>
      </c>
      <c r="O2" t="n">
        <v>1</v>
      </c>
      <c r="P2" t="n">
        <v>1</v>
      </c>
      <c r="U2" t="n">
        <v>1</v>
      </c>
      <c r="W2" t="n">
        <v>1</v>
      </c>
      <c r="Y2" t="n">
        <v>1</v>
      </c>
      <c r="Z2" t="n">
        <v>1</v>
      </c>
      <c r="AB2" t="n">
        <v>1</v>
      </c>
      <c r="AC2" t="n">
        <v>1</v>
      </c>
      <c r="AD2" t="n">
        <v>1</v>
      </c>
      <c r="AF2" t="n">
        <v>9</v>
      </c>
      <c r="AG2" t="inlineStr">
        <is>
          <t>retomado</t>
        </is>
      </c>
      <c r="AH2" t="inlineStr">
        <is>
          <t>alineado</t>
        </is>
      </c>
    </row>
    <row r="3">
      <c r="A3" t="inlineStr">
        <is>
          <t>Campo eléctrico</t>
        </is>
      </c>
      <c r="B3" t="inlineStr">
        <is>
          <t>alineado</t>
        </is>
      </c>
      <c r="C3" t="n">
        <v>6</v>
      </c>
      <c r="D3" t="n">
        <v>9</v>
      </c>
      <c r="F3" t="n">
        <v>8</v>
      </c>
      <c r="G3" t="n">
        <v>6</v>
      </c>
      <c r="L3" t="n">
        <v>11</v>
      </c>
      <c r="M3" t="n">
        <v>9.5</v>
      </c>
      <c r="O3" t="n">
        <v>1</v>
      </c>
      <c r="U3" t="n">
        <v>1</v>
      </c>
      <c r="V3" t="n">
        <v>1</v>
      </c>
      <c r="W3" t="n">
        <v>1</v>
      </c>
      <c r="X3" t="n">
        <v>1</v>
      </c>
      <c r="Y3" t="n">
        <v>1</v>
      </c>
      <c r="Z3" t="n">
        <v>1</v>
      </c>
      <c r="AA3" t="n">
        <v>1</v>
      </c>
      <c r="AB3" t="n">
        <v>1</v>
      </c>
      <c r="AC3" t="n">
        <v>1</v>
      </c>
      <c r="AD3" t="n">
        <v>1</v>
      </c>
      <c r="AE3" t="n">
        <v>1</v>
      </c>
      <c r="AF3" t="n">
        <v>9</v>
      </c>
      <c r="AG3" t="inlineStr">
        <is>
          <t>retomado</t>
        </is>
      </c>
      <c r="AH3" t="inlineStr">
        <is>
          <t>alineado</t>
        </is>
      </c>
    </row>
    <row r="4">
      <c r="A4" t="inlineStr">
        <is>
          <t>Colisiones elásticas e inelásticas</t>
        </is>
      </c>
      <c r="B4" t="inlineStr">
        <is>
          <t>alineado</t>
        </is>
      </c>
      <c r="C4" t="n">
        <v>8</v>
      </c>
      <c r="D4" t="n">
        <v>10</v>
      </c>
      <c r="G4" t="n">
        <v>8.5</v>
      </c>
      <c r="J4" t="n">
        <v>9</v>
      </c>
      <c r="L4" t="n">
        <v>11</v>
      </c>
      <c r="P4" t="n">
        <v>1</v>
      </c>
      <c r="S4" t="n">
        <v>1</v>
      </c>
      <c r="U4" t="n">
        <v>1</v>
      </c>
      <c r="W4" t="n">
        <v>1</v>
      </c>
      <c r="Y4" t="n">
        <v>1</v>
      </c>
      <c r="Z4" t="n">
        <v>1</v>
      </c>
      <c r="AA4" t="n">
        <v>1</v>
      </c>
      <c r="AB4" t="n">
        <v>1</v>
      </c>
      <c r="AC4" t="n">
        <v>1</v>
      </c>
      <c r="AD4" t="n">
        <v>1</v>
      </c>
      <c r="AE4" t="n">
        <v>1</v>
      </c>
      <c r="AF4" t="n">
        <v>10</v>
      </c>
      <c r="AG4" t="inlineStr">
        <is>
          <t>retomado</t>
        </is>
      </c>
      <c r="AH4" t="inlineStr">
        <is>
          <t>alineado</t>
        </is>
      </c>
    </row>
    <row r="5">
      <c r="A5" t="inlineStr">
        <is>
          <t>Corriente alterna y transformador</t>
        </is>
      </c>
      <c r="B5" t="inlineStr">
        <is>
          <t>alineado</t>
        </is>
      </c>
      <c r="C5" t="n">
        <v>9</v>
      </c>
      <c r="D5" t="n">
        <v>9</v>
      </c>
      <c r="F5" t="n">
        <v>10.5</v>
      </c>
      <c r="G5" t="n">
        <v>8.5</v>
      </c>
      <c r="I5" t="n">
        <v>7</v>
      </c>
      <c r="L5" t="n">
        <v>9.5</v>
      </c>
      <c r="M5" t="n">
        <v>7</v>
      </c>
      <c r="O5" t="n">
        <v>1</v>
      </c>
      <c r="P5" t="n">
        <v>1</v>
      </c>
      <c r="R5" t="n">
        <v>1</v>
      </c>
      <c r="U5" t="n">
        <v>1</v>
      </c>
      <c r="W5" t="n">
        <v>1</v>
      </c>
      <c r="X5" t="n">
        <v>1</v>
      </c>
      <c r="Y5" t="n">
        <v>1</v>
      </c>
      <c r="Z5" t="n">
        <v>1</v>
      </c>
      <c r="AA5" t="n">
        <v>1</v>
      </c>
      <c r="AB5" t="n">
        <v>1</v>
      </c>
      <c r="AC5" t="n">
        <v>1</v>
      </c>
      <c r="AD5" t="n">
        <v>1</v>
      </c>
      <c r="AE5" t="n">
        <v>1</v>
      </c>
      <c r="AF5" t="n">
        <v>9</v>
      </c>
      <c r="AG5" t="inlineStr">
        <is>
          <t>alineado</t>
        </is>
      </c>
      <c r="AH5" t="inlineStr">
        <is>
          <t>alineado</t>
        </is>
      </c>
    </row>
    <row r="6">
      <c r="A6" t="inlineStr">
        <is>
          <t>Desintegración radiactiva</t>
        </is>
      </c>
      <c r="B6" t="inlineStr">
        <is>
          <t>alineado</t>
        </is>
      </c>
      <c r="C6" t="n">
        <v>10</v>
      </c>
      <c r="D6" t="n">
        <v>10</v>
      </c>
      <c r="F6" t="n">
        <v>8</v>
      </c>
      <c r="G6" t="n">
        <v>8.5</v>
      </c>
      <c r="I6" t="n">
        <v>9.5</v>
      </c>
      <c r="L6" t="n">
        <v>9.5</v>
      </c>
      <c r="M6" t="n">
        <v>9.5</v>
      </c>
      <c r="O6" t="n">
        <v>1</v>
      </c>
      <c r="P6" t="n">
        <v>1</v>
      </c>
      <c r="R6" t="n">
        <v>1</v>
      </c>
      <c r="U6" t="n">
        <v>1</v>
      </c>
      <c r="V6" t="n">
        <v>1</v>
      </c>
      <c r="W6" t="n">
        <v>1</v>
      </c>
      <c r="X6" t="n">
        <v>1</v>
      </c>
      <c r="Y6" t="n">
        <v>1</v>
      </c>
      <c r="Z6" t="n">
        <v>1</v>
      </c>
      <c r="AA6" t="n">
        <v>1</v>
      </c>
      <c r="AC6" t="n">
        <v>1</v>
      </c>
      <c r="AD6" t="n">
        <v>1</v>
      </c>
      <c r="AE6" t="n">
        <v>1</v>
      </c>
      <c r="AF6" t="n">
        <v>11</v>
      </c>
      <c r="AG6" t="inlineStr">
        <is>
          <t>alineado</t>
        </is>
      </c>
      <c r="AH6" t="inlineStr">
        <is>
          <t>tardio</t>
        </is>
      </c>
    </row>
    <row r="7">
      <c r="A7" t="inlineStr">
        <is>
          <t>Equilibrio térmico y ley cero</t>
        </is>
      </c>
      <c r="B7" t="inlineStr">
        <is>
          <t>alineado</t>
        </is>
      </c>
      <c r="C7" t="n">
        <v>3</v>
      </c>
      <c r="D7" t="n">
        <v>9</v>
      </c>
      <c r="E7" t="n">
        <v>2</v>
      </c>
      <c r="F7" t="n">
        <v>8</v>
      </c>
      <c r="G7" t="n">
        <v>6</v>
      </c>
      <c r="J7" t="n">
        <v>7</v>
      </c>
      <c r="L7" t="n">
        <v>9.5</v>
      </c>
      <c r="M7" t="n">
        <v>7</v>
      </c>
      <c r="O7" t="n">
        <v>1</v>
      </c>
      <c r="U7" t="n">
        <v>1</v>
      </c>
      <c r="V7" t="n">
        <v>1</v>
      </c>
      <c r="W7" t="n">
        <v>1</v>
      </c>
      <c r="Y7" t="n">
        <v>1</v>
      </c>
      <c r="Z7" t="n">
        <v>1</v>
      </c>
      <c r="AC7" t="n">
        <v>1</v>
      </c>
      <c r="AD7" t="n">
        <v>1</v>
      </c>
      <c r="AF7" t="n">
        <v>9</v>
      </c>
      <c r="AG7" t="inlineStr">
        <is>
          <t>retomado</t>
        </is>
      </c>
      <c r="AH7" t="inlineStr">
        <is>
          <t>alineado</t>
        </is>
      </c>
    </row>
    <row r="8">
      <c r="A8" t="inlineStr">
        <is>
          <t>Equivalencia masa-energía</t>
        </is>
      </c>
      <c r="B8" t="inlineStr">
        <is>
          <t>alineado</t>
        </is>
      </c>
      <c r="C8" t="n">
        <v>11</v>
      </c>
      <c r="D8" t="n">
        <v>11</v>
      </c>
      <c r="F8" t="n">
        <v>8</v>
      </c>
      <c r="J8" t="n">
        <v>9</v>
      </c>
      <c r="L8" t="n">
        <v>11</v>
      </c>
      <c r="M8" t="n">
        <v>9.5</v>
      </c>
      <c r="O8" t="n">
        <v>1</v>
      </c>
      <c r="S8" t="n">
        <v>1</v>
      </c>
      <c r="U8" t="n">
        <v>1</v>
      </c>
      <c r="V8" t="n">
        <v>1</v>
      </c>
      <c r="W8" t="n">
        <v>1</v>
      </c>
      <c r="X8" t="n">
        <v>1</v>
      </c>
      <c r="Y8" t="n">
        <v>1</v>
      </c>
      <c r="Z8" t="n">
        <v>1</v>
      </c>
      <c r="AA8" t="n">
        <v>1</v>
      </c>
      <c r="AC8" t="n">
        <v>1</v>
      </c>
      <c r="AD8" t="n">
        <v>1</v>
      </c>
      <c r="AE8" t="n">
        <v>1</v>
      </c>
      <c r="AF8" t="n">
        <v>11</v>
      </c>
      <c r="AG8" t="inlineStr">
        <is>
          <t>alineado</t>
        </is>
      </c>
      <c r="AH8" t="inlineStr">
        <is>
          <t>alineado</t>
        </is>
      </c>
    </row>
    <row r="9">
      <c r="A9" t="inlineStr">
        <is>
          <t>Espejos esféricos</t>
        </is>
      </c>
      <c r="B9" t="inlineStr">
        <is>
          <t>alineado</t>
        </is>
      </c>
      <c r="C9" t="n">
        <v>10</v>
      </c>
      <c r="D9" t="n">
        <v>10</v>
      </c>
      <c r="F9" t="n">
        <v>8</v>
      </c>
      <c r="J9" t="n">
        <v>7</v>
      </c>
      <c r="K9" t="n">
        <v>9</v>
      </c>
      <c r="M9" t="n">
        <v>7</v>
      </c>
      <c r="O9" t="n">
        <v>1</v>
      </c>
      <c r="T9" t="n">
        <v>1</v>
      </c>
      <c r="W9" t="n">
        <v>1</v>
      </c>
      <c r="AB9" t="n">
        <v>1</v>
      </c>
      <c r="AF9" t="n">
        <v>10</v>
      </c>
      <c r="AG9" t="inlineStr">
        <is>
          <t>alineado</t>
        </is>
      </c>
      <c r="AH9" t="inlineStr">
        <is>
          <t>alineado</t>
        </is>
      </c>
    </row>
    <row r="10">
      <c r="A10" t="inlineStr">
        <is>
          <t>Espejos planos e imágenes</t>
        </is>
      </c>
      <c r="B10" t="inlineStr">
        <is>
          <t>alineado</t>
        </is>
      </c>
      <c r="C10" t="n">
        <v>7</v>
      </c>
      <c r="D10" t="n">
        <v>10</v>
      </c>
      <c r="G10" t="n">
        <v>6</v>
      </c>
      <c r="J10" t="n">
        <v>7</v>
      </c>
      <c r="K10" t="n">
        <v>9</v>
      </c>
      <c r="M10" t="n">
        <v>7</v>
      </c>
      <c r="T10" t="n">
        <v>1</v>
      </c>
      <c r="AF10" t="n">
        <v>10</v>
      </c>
      <c r="AG10" t="inlineStr">
        <is>
          <t>retomado</t>
        </is>
      </c>
      <c r="AH10" t="inlineStr">
        <is>
          <t>alineado</t>
        </is>
      </c>
    </row>
    <row r="11">
      <c r="A11" t="inlineStr">
        <is>
          <t>Fisión y fusión nuclear</t>
        </is>
      </c>
      <c r="B11" t="inlineStr">
        <is>
          <t>alineado</t>
        </is>
      </c>
      <c r="C11" t="n">
        <v>11</v>
      </c>
      <c r="D11" t="n">
        <v>11</v>
      </c>
      <c r="F11" t="n">
        <v>8</v>
      </c>
      <c r="G11" t="n">
        <v>8.5</v>
      </c>
      <c r="I11" t="n">
        <v>9.5</v>
      </c>
      <c r="J11" t="n">
        <v>9</v>
      </c>
      <c r="L11" t="n">
        <v>11</v>
      </c>
      <c r="M11" t="n">
        <v>7</v>
      </c>
      <c r="O11" t="n">
        <v>1</v>
      </c>
      <c r="R11" t="n">
        <v>1</v>
      </c>
      <c r="S11" t="n">
        <v>1</v>
      </c>
      <c r="U11" t="n">
        <v>1</v>
      </c>
      <c r="V11" t="n">
        <v>1</v>
      </c>
      <c r="W11" t="n">
        <v>1</v>
      </c>
      <c r="X11" t="n">
        <v>1</v>
      </c>
      <c r="Y11" t="n">
        <v>1</v>
      </c>
      <c r="Z11" t="n">
        <v>1</v>
      </c>
      <c r="AA11" t="n">
        <v>1</v>
      </c>
      <c r="AB11" t="n">
        <v>1</v>
      </c>
      <c r="AC11" t="n">
        <v>1</v>
      </c>
      <c r="AD11" t="n">
        <v>1</v>
      </c>
      <c r="AF11" t="n">
        <v>11</v>
      </c>
      <c r="AG11" t="inlineStr">
        <is>
          <t>alineado</t>
        </is>
      </c>
      <c r="AH11" t="inlineStr">
        <is>
          <t>tardio</t>
        </is>
      </c>
    </row>
    <row r="12">
      <c r="A12" t="inlineStr">
        <is>
          <t>Fricción y resistencia del aire</t>
        </is>
      </c>
      <c r="B12" t="inlineStr">
        <is>
          <t>alineado</t>
        </is>
      </c>
      <c r="C12" t="n">
        <v>3</v>
      </c>
      <c r="D12" t="n">
        <v>9</v>
      </c>
      <c r="E12" t="n">
        <v>3</v>
      </c>
      <c r="F12" t="n">
        <v>8</v>
      </c>
      <c r="G12" t="n">
        <v>2</v>
      </c>
      <c r="I12" t="n">
        <v>9.5</v>
      </c>
      <c r="J12" t="n">
        <v>7</v>
      </c>
      <c r="L12" t="n">
        <v>9.5</v>
      </c>
      <c r="M12" t="n">
        <v>7</v>
      </c>
      <c r="O12" t="n">
        <v>1</v>
      </c>
      <c r="P12" t="n">
        <v>1</v>
      </c>
      <c r="R12" t="n">
        <v>1</v>
      </c>
      <c r="U12" t="n">
        <v>1</v>
      </c>
      <c r="V12" t="n">
        <v>1</v>
      </c>
      <c r="X12" t="n">
        <v>1</v>
      </c>
      <c r="Y12" t="n">
        <v>1</v>
      </c>
      <c r="Z12" t="n">
        <v>1</v>
      </c>
      <c r="AC12" t="n">
        <v>1</v>
      </c>
      <c r="AD12" t="n">
        <v>1</v>
      </c>
      <c r="AE12" t="n">
        <v>1</v>
      </c>
      <c r="AF12" t="n">
        <v>10</v>
      </c>
      <c r="AG12" t="inlineStr">
        <is>
          <t>retomado</t>
        </is>
      </c>
      <c r="AH12" t="inlineStr">
        <is>
          <t>alineado</t>
        </is>
      </c>
    </row>
    <row r="13">
      <c r="A13" t="inlineStr">
        <is>
          <t>Fuerza magnética sobre corrientes y motor eléctrico</t>
        </is>
      </c>
      <c r="B13" t="inlineStr">
        <is>
          <t>alineado</t>
        </is>
      </c>
      <c r="C13" t="n">
        <v>9</v>
      </c>
      <c r="D13" t="n">
        <v>9</v>
      </c>
      <c r="F13" t="n">
        <v>8</v>
      </c>
      <c r="G13" t="n">
        <v>6</v>
      </c>
      <c r="I13" t="n">
        <v>7</v>
      </c>
      <c r="J13" t="n">
        <v>7</v>
      </c>
      <c r="L13" t="n">
        <v>9.5</v>
      </c>
      <c r="M13" t="n">
        <v>7</v>
      </c>
      <c r="O13" t="n">
        <v>1</v>
      </c>
      <c r="P13" t="n">
        <v>1</v>
      </c>
      <c r="U13" t="n">
        <v>1</v>
      </c>
      <c r="W13" t="n">
        <v>1</v>
      </c>
      <c r="X13" t="n">
        <v>1</v>
      </c>
      <c r="Y13" t="n">
        <v>1</v>
      </c>
      <c r="Z13" t="n">
        <v>1</v>
      </c>
      <c r="AA13" t="n">
        <v>1</v>
      </c>
      <c r="AB13" t="n">
        <v>1</v>
      </c>
      <c r="AC13" t="n">
        <v>1</v>
      </c>
      <c r="AD13" t="n">
        <v>1</v>
      </c>
      <c r="AE13" t="n">
        <v>1</v>
      </c>
      <c r="AF13" t="n">
        <v>9</v>
      </c>
      <c r="AG13" t="inlineStr">
        <is>
          <t>alineado</t>
        </is>
      </c>
      <c r="AH13" t="inlineStr">
        <is>
          <t>alineado</t>
        </is>
      </c>
    </row>
    <row r="14">
      <c r="A14" t="inlineStr">
        <is>
          <t>Inducción electromagnética: Faraday y Lenz</t>
        </is>
      </c>
      <c r="B14" t="inlineStr">
        <is>
          <t>alineado</t>
        </is>
      </c>
      <c r="C14" t="n">
        <v>4</v>
      </c>
      <c r="D14" t="n">
        <v>9</v>
      </c>
      <c r="F14" t="n">
        <v>8</v>
      </c>
      <c r="G14" t="n">
        <v>8.5</v>
      </c>
      <c r="I14" t="n">
        <v>7</v>
      </c>
      <c r="J14" t="n">
        <v>9</v>
      </c>
      <c r="M14" t="n">
        <v>7</v>
      </c>
      <c r="O14" t="n">
        <v>1</v>
      </c>
      <c r="P14" t="n">
        <v>1</v>
      </c>
      <c r="R14" t="n">
        <v>1</v>
      </c>
      <c r="S14" t="n">
        <v>1</v>
      </c>
      <c r="V14" t="n">
        <v>1</v>
      </c>
      <c r="W14" t="n">
        <v>1</v>
      </c>
      <c r="X14" t="n">
        <v>1</v>
      </c>
      <c r="Y14" t="n">
        <v>1</v>
      </c>
      <c r="Z14" t="n">
        <v>1</v>
      </c>
      <c r="AA14" t="n">
        <v>1</v>
      </c>
      <c r="AB14" t="n">
        <v>1</v>
      </c>
      <c r="AC14" t="n">
        <v>1</v>
      </c>
      <c r="AD14" t="n">
        <v>1</v>
      </c>
      <c r="AE14" t="n">
        <v>1</v>
      </c>
      <c r="AF14" t="n">
        <v>9</v>
      </c>
      <c r="AG14" t="inlineStr">
        <is>
          <t>retomado</t>
        </is>
      </c>
      <c r="AH14" t="inlineStr">
        <is>
          <t>alineado</t>
        </is>
      </c>
    </row>
    <row r="15">
      <c r="A15" t="inlineStr">
        <is>
          <t>Lentes delgadas e imágenes</t>
        </is>
      </c>
      <c r="B15" t="inlineStr">
        <is>
          <t>alineado</t>
        </is>
      </c>
      <c r="C15" t="n">
        <v>10</v>
      </c>
      <c r="D15" t="n">
        <v>10</v>
      </c>
      <c r="F15" t="n">
        <v>8</v>
      </c>
      <c r="G15" t="n">
        <v>6</v>
      </c>
      <c r="I15" t="n">
        <v>6</v>
      </c>
      <c r="J15" t="n">
        <v>7</v>
      </c>
      <c r="K15" t="n">
        <v>9</v>
      </c>
      <c r="L15" t="n">
        <v>9.5</v>
      </c>
      <c r="M15" t="n">
        <v>7</v>
      </c>
      <c r="O15" t="n">
        <v>1</v>
      </c>
      <c r="T15" t="n">
        <v>1</v>
      </c>
      <c r="U15" t="n">
        <v>1</v>
      </c>
      <c r="W15" t="n">
        <v>1</v>
      </c>
      <c r="Y15" t="n">
        <v>1</v>
      </c>
      <c r="AB15" t="n">
        <v>1</v>
      </c>
      <c r="AD15" t="n">
        <v>1</v>
      </c>
      <c r="AE15" t="n">
        <v>1</v>
      </c>
      <c r="AF15" t="n">
        <v>10</v>
      </c>
      <c r="AG15" t="inlineStr">
        <is>
          <t>alineado</t>
        </is>
      </c>
      <c r="AH15" t="inlineStr">
        <is>
          <t>alineado</t>
        </is>
      </c>
    </row>
    <row r="16">
      <c r="A16" t="inlineStr">
        <is>
          <t>Ley de Coulomb</t>
        </is>
      </c>
      <c r="B16" t="inlineStr">
        <is>
          <t>alineado</t>
        </is>
      </c>
      <c r="C16" t="n">
        <v>3</v>
      </c>
      <c r="D16" t="n">
        <v>9</v>
      </c>
      <c r="F16" t="n">
        <v>8</v>
      </c>
      <c r="J16" t="n">
        <v>7</v>
      </c>
      <c r="L16" t="n">
        <v>9.5</v>
      </c>
      <c r="M16" t="n">
        <v>7</v>
      </c>
      <c r="O16" t="n">
        <v>1</v>
      </c>
      <c r="U16" t="n">
        <v>1</v>
      </c>
      <c r="V16" t="n">
        <v>1</v>
      </c>
      <c r="W16" t="n">
        <v>1</v>
      </c>
      <c r="Y16" t="n">
        <v>1</v>
      </c>
      <c r="Z16" t="n">
        <v>1</v>
      </c>
      <c r="AA16" t="n">
        <v>1</v>
      </c>
      <c r="AB16" t="n">
        <v>1</v>
      </c>
      <c r="AC16" t="n">
        <v>1</v>
      </c>
      <c r="AD16" t="n">
        <v>1</v>
      </c>
      <c r="AE16" t="n">
        <v>1</v>
      </c>
      <c r="AF16" t="n">
        <v>9</v>
      </c>
      <c r="AG16" t="inlineStr">
        <is>
          <t>retomado</t>
        </is>
      </c>
      <c r="AH16" t="inlineStr">
        <is>
          <t>alineado</t>
        </is>
      </c>
    </row>
    <row r="17">
      <c r="A17" t="inlineStr">
        <is>
          <t>Ley de Ohm</t>
        </is>
      </c>
      <c r="B17" t="inlineStr">
        <is>
          <t>alineado</t>
        </is>
      </c>
      <c r="C17" t="n">
        <v>9</v>
      </c>
      <c r="D17" t="n">
        <v>9</v>
      </c>
      <c r="F17" t="n">
        <v>8</v>
      </c>
      <c r="G17" t="n">
        <v>6</v>
      </c>
      <c r="I17" t="n">
        <v>7</v>
      </c>
      <c r="J17" t="n">
        <v>7</v>
      </c>
      <c r="K17" t="n">
        <v>8</v>
      </c>
      <c r="L17" t="n">
        <v>9.5</v>
      </c>
      <c r="M17" t="n">
        <v>7</v>
      </c>
      <c r="O17" t="n">
        <v>1</v>
      </c>
      <c r="P17" t="n">
        <v>1</v>
      </c>
      <c r="R17" t="n">
        <v>1</v>
      </c>
      <c r="U17" t="n">
        <v>1</v>
      </c>
      <c r="W17" t="n">
        <v>1</v>
      </c>
      <c r="X17" t="n">
        <v>1</v>
      </c>
      <c r="Y17" t="n">
        <v>1</v>
      </c>
      <c r="Z17" t="n">
        <v>1</v>
      </c>
      <c r="AA17" t="n">
        <v>1</v>
      </c>
      <c r="AB17" t="n">
        <v>1</v>
      </c>
      <c r="AC17" t="n">
        <v>1</v>
      </c>
      <c r="AD17" t="n">
        <v>1</v>
      </c>
      <c r="AE17" t="n">
        <v>1</v>
      </c>
      <c r="AF17" t="n">
        <v>11</v>
      </c>
      <c r="AG17" t="inlineStr">
        <is>
          <t>alineado</t>
        </is>
      </c>
      <c r="AH17" t="inlineStr">
        <is>
          <t>tardio</t>
        </is>
      </c>
    </row>
    <row r="18">
      <c r="A18" t="inlineStr">
        <is>
          <t>Núcleo atómico e isótopos</t>
        </is>
      </c>
      <c r="B18" t="inlineStr">
        <is>
          <t>alineado</t>
        </is>
      </c>
      <c r="C18" t="n">
        <v>11</v>
      </c>
      <c r="D18" t="n">
        <v>11</v>
      </c>
      <c r="F18" t="n">
        <v>8</v>
      </c>
      <c r="G18" t="n">
        <v>8.5</v>
      </c>
      <c r="L18" t="n">
        <v>9.5</v>
      </c>
      <c r="M18" t="n">
        <v>9.5</v>
      </c>
      <c r="O18" t="n">
        <v>1</v>
      </c>
      <c r="P18" t="n">
        <v>1</v>
      </c>
      <c r="U18" t="n">
        <v>1</v>
      </c>
      <c r="V18" t="n">
        <v>1</v>
      </c>
      <c r="W18" t="n">
        <v>1</v>
      </c>
      <c r="X18" t="n">
        <v>1</v>
      </c>
      <c r="Y18" t="n">
        <v>1</v>
      </c>
      <c r="Z18" t="n">
        <v>1</v>
      </c>
      <c r="AA18" t="n">
        <v>1</v>
      </c>
      <c r="AB18" t="n">
        <v>1</v>
      </c>
      <c r="AC18" t="n">
        <v>1</v>
      </c>
      <c r="AD18" t="n">
        <v>1</v>
      </c>
      <c r="AE18" t="n">
        <v>1</v>
      </c>
      <c r="AF18" t="n">
        <v>11</v>
      </c>
      <c r="AG18" t="inlineStr">
        <is>
          <t>alineado</t>
        </is>
      </c>
      <c r="AH18" t="inlineStr">
        <is>
          <t>alineado</t>
        </is>
      </c>
    </row>
    <row r="19">
      <c r="A19" t="inlineStr">
        <is>
          <t>El ojo y los instrumentos ópticos</t>
        </is>
      </c>
      <c r="B19" t="inlineStr">
        <is>
          <t>alineado</t>
        </is>
      </c>
      <c r="C19" t="n">
        <v>3</v>
      </c>
      <c r="D19" t="n">
        <v>10</v>
      </c>
      <c r="F19" t="n">
        <v>8</v>
      </c>
      <c r="G19" t="n">
        <v>6</v>
      </c>
      <c r="K19" t="n">
        <v>9</v>
      </c>
      <c r="M19" t="n">
        <v>7</v>
      </c>
      <c r="O19" t="n">
        <v>1</v>
      </c>
      <c r="T19" t="n">
        <v>1</v>
      </c>
      <c r="X19" t="n">
        <v>1</v>
      </c>
      <c r="Z19" t="n">
        <v>1</v>
      </c>
      <c r="AB19" t="n">
        <v>1</v>
      </c>
      <c r="AE19" t="n">
        <v>1</v>
      </c>
      <c r="AF19" t="n">
        <v>10</v>
      </c>
      <c r="AG19" t="inlineStr">
        <is>
          <t>retomado</t>
        </is>
      </c>
      <c r="AH19" t="inlineStr">
        <is>
          <t>alineado</t>
        </is>
      </c>
    </row>
    <row r="20">
      <c r="A20" t="inlineStr">
        <is>
          <t>Ondas electromagnéticas y espectro</t>
        </is>
      </c>
      <c r="B20" t="inlineStr">
        <is>
          <t>alineado</t>
        </is>
      </c>
      <c r="C20" t="n">
        <v>10</v>
      </c>
      <c r="D20" t="n">
        <v>10</v>
      </c>
      <c r="F20" t="n">
        <v>8</v>
      </c>
      <c r="G20" t="n">
        <v>6</v>
      </c>
      <c r="I20" t="n">
        <v>9.5</v>
      </c>
      <c r="K20" t="n">
        <v>9</v>
      </c>
      <c r="L20" t="n">
        <v>9.5</v>
      </c>
      <c r="M20" t="n">
        <v>9.5</v>
      </c>
      <c r="O20" t="n">
        <v>1</v>
      </c>
      <c r="P20" t="n">
        <v>1</v>
      </c>
      <c r="R20" t="n">
        <v>1</v>
      </c>
      <c r="T20" t="n">
        <v>1</v>
      </c>
      <c r="U20" t="n">
        <v>1</v>
      </c>
      <c r="V20" t="n">
        <v>1</v>
      </c>
      <c r="W20" t="n">
        <v>1</v>
      </c>
      <c r="X20" t="n">
        <v>1</v>
      </c>
      <c r="Y20" t="n">
        <v>1</v>
      </c>
      <c r="Z20" t="n">
        <v>1</v>
      </c>
      <c r="AA20" t="n">
        <v>1</v>
      </c>
      <c r="AB20" t="n">
        <v>1</v>
      </c>
      <c r="AC20" t="n">
        <v>1</v>
      </c>
      <c r="AD20" t="n">
        <v>1</v>
      </c>
      <c r="AE20" t="n">
        <v>1</v>
      </c>
      <c r="AF20" t="n">
        <v>10</v>
      </c>
      <c r="AG20" t="inlineStr">
        <is>
          <t>alineado</t>
        </is>
      </c>
      <c r="AH20" t="inlineStr">
        <is>
          <t>alineado</t>
        </is>
      </c>
    </row>
    <row r="21">
      <c r="A21" t="inlineStr">
        <is>
          <t>Ondas de radio y telecomunicaciones</t>
        </is>
      </c>
      <c r="B21" t="inlineStr">
        <is>
          <t>alineado</t>
        </is>
      </c>
      <c r="C21" t="n">
        <v>11</v>
      </c>
      <c r="D21" t="n">
        <v>11</v>
      </c>
      <c r="G21" t="n">
        <v>8.5</v>
      </c>
      <c r="I21" t="n">
        <v>9.5</v>
      </c>
      <c r="L21" t="n">
        <v>9.5</v>
      </c>
      <c r="M21" t="n">
        <v>9.5</v>
      </c>
      <c r="P21" t="n">
        <v>1</v>
      </c>
      <c r="R21" t="n">
        <v>1</v>
      </c>
      <c r="U21" t="n">
        <v>1</v>
      </c>
      <c r="V21" t="n">
        <v>1</v>
      </c>
      <c r="X21" t="n">
        <v>1</v>
      </c>
      <c r="Y21" t="n">
        <v>1</v>
      </c>
      <c r="Z21" t="n">
        <v>1</v>
      </c>
      <c r="AC21" t="n">
        <v>1</v>
      </c>
      <c r="AD21" t="n">
        <v>1</v>
      </c>
      <c r="AF21" t="n">
        <v>11</v>
      </c>
      <c r="AG21" t="inlineStr">
        <is>
          <t>sin_referente</t>
        </is>
      </c>
      <c r="AH21" t="inlineStr">
        <is>
          <t>alineado</t>
        </is>
      </c>
    </row>
    <row r="22">
      <c r="A22" t="inlineStr">
        <is>
          <t>Órbitas y satélites</t>
        </is>
      </c>
      <c r="B22" t="inlineStr">
        <is>
          <t>alineado</t>
        </is>
      </c>
      <c r="C22" t="n">
        <v>8</v>
      </c>
      <c r="D22" t="n">
        <v>9</v>
      </c>
      <c r="F22" t="n">
        <v>10.5</v>
      </c>
      <c r="J22" t="n">
        <v>9</v>
      </c>
      <c r="L22" t="n">
        <v>11</v>
      </c>
      <c r="M22" t="n">
        <v>9.5</v>
      </c>
      <c r="O22" t="n">
        <v>1</v>
      </c>
      <c r="S22" t="n">
        <v>1</v>
      </c>
      <c r="U22" t="n">
        <v>1</v>
      </c>
      <c r="V22" t="n">
        <v>1</v>
      </c>
      <c r="W22" t="n">
        <v>1</v>
      </c>
      <c r="Y22" t="n">
        <v>1</v>
      </c>
      <c r="Z22" t="n">
        <v>1</v>
      </c>
      <c r="AA22" t="n">
        <v>1</v>
      </c>
      <c r="AB22" t="n">
        <v>1</v>
      </c>
      <c r="AC22" t="n">
        <v>1</v>
      </c>
      <c r="AD22" t="n">
        <v>1</v>
      </c>
      <c r="AE22" t="n">
        <v>1</v>
      </c>
      <c r="AF22" t="n">
        <v>10</v>
      </c>
      <c r="AG22" t="inlineStr">
        <is>
          <t>retomado</t>
        </is>
      </c>
      <c r="AH22" t="inlineStr">
        <is>
          <t>alineado</t>
        </is>
      </c>
    </row>
    <row r="23">
      <c r="A23" t="inlineStr">
        <is>
          <t>Potencia eléctrica y efecto Joule</t>
        </is>
      </c>
      <c r="B23" t="inlineStr">
        <is>
          <t>alineado</t>
        </is>
      </c>
      <c r="C23" t="n">
        <v>2</v>
      </c>
      <c r="D23" t="n">
        <v>9</v>
      </c>
      <c r="F23" t="n">
        <v>8</v>
      </c>
      <c r="G23" t="n">
        <v>6</v>
      </c>
      <c r="I23" t="n">
        <v>7</v>
      </c>
      <c r="J23" t="n">
        <v>7</v>
      </c>
      <c r="K23" t="n">
        <v>8</v>
      </c>
      <c r="L23" t="n">
        <v>9.5</v>
      </c>
      <c r="M23" t="n">
        <v>7</v>
      </c>
      <c r="O23" t="n">
        <v>1</v>
      </c>
      <c r="P23" t="n">
        <v>1</v>
      </c>
      <c r="R23" t="n">
        <v>1</v>
      </c>
      <c r="U23" t="n">
        <v>1</v>
      </c>
      <c r="V23" t="n">
        <v>1</v>
      </c>
      <c r="W23" t="n">
        <v>1</v>
      </c>
      <c r="X23" t="n">
        <v>1</v>
      </c>
      <c r="Y23" t="n">
        <v>1</v>
      </c>
      <c r="Z23" t="n">
        <v>1</v>
      </c>
      <c r="AB23" t="n">
        <v>1</v>
      </c>
      <c r="AC23" t="n">
        <v>1</v>
      </c>
      <c r="AD23" t="n">
        <v>1</v>
      </c>
      <c r="AE23" t="n">
        <v>1</v>
      </c>
      <c r="AF23" t="n">
        <v>9</v>
      </c>
      <c r="AG23" t="inlineStr">
        <is>
          <t>retomado</t>
        </is>
      </c>
      <c r="AH23" t="inlineStr">
        <is>
          <t>alineado</t>
        </is>
      </c>
    </row>
    <row r="24">
      <c r="A24" t="inlineStr">
        <is>
          <t>Energía potencial y potencial eléctrico</t>
        </is>
      </c>
      <c r="B24" t="inlineStr">
        <is>
          <t>alineado</t>
        </is>
      </c>
      <c r="C24" t="n">
        <v>8</v>
      </c>
      <c r="D24" t="n">
        <v>11</v>
      </c>
      <c r="F24" t="n">
        <v>10.5</v>
      </c>
      <c r="G24" t="n">
        <v>8.5</v>
      </c>
      <c r="L24" t="n">
        <v>9.5</v>
      </c>
      <c r="O24" t="n">
        <v>1</v>
      </c>
      <c r="P24" t="n">
        <v>1</v>
      </c>
      <c r="U24" t="n">
        <v>1</v>
      </c>
      <c r="W24" t="n">
        <v>1</v>
      </c>
      <c r="Y24" t="n">
        <v>1</v>
      </c>
      <c r="Z24" t="n">
        <v>1</v>
      </c>
      <c r="AA24" t="n">
        <v>1</v>
      </c>
      <c r="AB24" t="n">
        <v>1</v>
      </c>
      <c r="AC24" t="n">
        <v>1</v>
      </c>
      <c r="AD24" t="n">
        <v>1</v>
      </c>
      <c r="AE24" t="n">
        <v>1</v>
      </c>
      <c r="AF24" t="n">
        <v>11</v>
      </c>
      <c r="AG24" t="inlineStr">
        <is>
          <t>retomado</t>
        </is>
      </c>
      <c r="AH24" t="inlineStr">
        <is>
          <t>solo_especializacion</t>
        </is>
      </c>
    </row>
    <row r="25">
      <c r="A25" t="inlineStr">
        <is>
          <t>Primera ley de la termodinámica</t>
        </is>
      </c>
      <c r="B25" t="inlineStr">
        <is>
          <t>alineado</t>
        </is>
      </c>
      <c r="C25" t="n">
        <v>9</v>
      </c>
      <c r="D25" t="n">
        <v>9</v>
      </c>
      <c r="F25" t="n">
        <v>8</v>
      </c>
      <c r="G25" t="n">
        <v>8.5</v>
      </c>
      <c r="I25" t="n">
        <v>9.5</v>
      </c>
      <c r="M25" t="n">
        <v>9.5</v>
      </c>
      <c r="O25" t="n">
        <v>1</v>
      </c>
      <c r="P25" t="n">
        <v>1</v>
      </c>
      <c r="R25" t="n">
        <v>1</v>
      </c>
      <c r="V25" t="n">
        <v>1</v>
      </c>
      <c r="W25" t="n">
        <v>1</v>
      </c>
      <c r="X25" t="n">
        <v>1</v>
      </c>
      <c r="Y25" t="n">
        <v>1</v>
      </c>
      <c r="AA25" t="n">
        <v>1</v>
      </c>
      <c r="AB25" t="n">
        <v>1</v>
      </c>
      <c r="AC25" t="n">
        <v>1</v>
      </c>
      <c r="AD25" t="n">
        <v>1</v>
      </c>
      <c r="AE25" t="n">
        <v>1</v>
      </c>
      <c r="AF25" t="n">
        <v>9</v>
      </c>
      <c r="AG25" t="inlineStr">
        <is>
          <t>sin_referente</t>
        </is>
      </c>
      <c r="AH25" t="inlineStr">
        <is>
          <t>alineado</t>
        </is>
      </c>
    </row>
    <row r="26">
      <c r="A26" t="inlineStr">
        <is>
          <t>Radiación ionizante: detección, efectos y aplicaciones</t>
        </is>
      </c>
      <c r="B26" t="inlineStr">
        <is>
          <t>alineado</t>
        </is>
      </c>
      <c r="C26" t="n">
        <v>11</v>
      </c>
      <c r="D26" t="n">
        <v>11</v>
      </c>
      <c r="F26" t="n">
        <v>8</v>
      </c>
      <c r="G26" t="n">
        <v>8.5</v>
      </c>
      <c r="I26" t="n">
        <v>9.5</v>
      </c>
      <c r="L26" t="n">
        <v>9.5</v>
      </c>
      <c r="M26" t="n">
        <v>9.5</v>
      </c>
      <c r="O26" t="n">
        <v>1</v>
      </c>
      <c r="P26" t="n">
        <v>1</v>
      </c>
      <c r="R26" t="n">
        <v>1</v>
      </c>
      <c r="U26" t="n">
        <v>1</v>
      </c>
      <c r="V26" t="n">
        <v>1</v>
      </c>
      <c r="W26" t="n">
        <v>1</v>
      </c>
      <c r="X26" t="n">
        <v>1</v>
      </c>
      <c r="Y26" t="n">
        <v>1</v>
      </c>
      <c r="Z26" t="n">
        <v>1</v>
      </c>
      <c r="AC26" t="n">
        <v>1</v>
      </c>
      <c r="AD26" t="n">
        <v>1</v>
      </c>
      <c r="AE26" t="n">
        <v>1</v>
      </c>
      <c r="AF26" t="n">
        <v>11</v>
      </c>
      <c r="AG26" t="inlineStr">
        <is>
          <t>alineado</t>
        </is>
      </c>
      <c r="AH26" t="inlineStr">
        <is>
          <t>tardio</t>
        </is>
      </c>
    </row>
    <row r="27">
      <c r="A27" t="inlineStr">
        <is>
          <t>Rapidez de la luz</t>
        </is>
      </c>
      <c r="B27" t="inlineStr">
        <is>
          <t>alineado</t>
        </is>
      </c>
      <c r="C27" t="n">
        <v>10</v>
      </c>
      <c r="D27" t="n">
        <v>10</v>
      </c>
      <c r="G27" t="n">
        <v>6</v>
      </c>
      <c r="K27" t="n">
        <v>9</v>
      </c>
      <c r="L27" t="n">
        <v>9.5</v>
      </c>
      <c r="M27" t="n">
        <v>7</v>
      </c>
      <c r="P27" t="n">
        <v>1</v>
      </c>
      <c r="T27" t="n">
        <v>1</v>
      </c>
      <c r="U27" t="n">
        <v>1</v>
      </c>
      <c r="V27" t="n">
        <v>1</v>
      </c>
      <c r="W27" t="n">
        <v>1</v>
      </c>
      <c r="Y27" t="n">
        <v>1</v>
      </c>
      <c r="Z27" t="n">
        <v>1</v>
      </c>
      <c r="AB27" t="n">
        <v>1</v>
      </c>
      <c r="AD27" t="n">
        <v>1</v>
      </c>
      <c r="AE27" t="n">
        <v>1</v>
      </c>
      <c r="AF27" t="n">
        <v>11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Relaciones presión-volumen-temperatura en gases</t>
        </is>
      </c>
      <c r="B28" t="inlineStr">
        <is>
          <t>alineado</t>
        </is>
      </c>
      <c r="C28" t="n">
        <v>9</v>
      </c>
      <c r="D28" t="n">
        <v>9</v>
      </c>
      <c r="F28" t="n">
        <v>10.5</v>
      </c>
      <c r="G28" t="n">
        <v>8.5</v>
      </c>
      <c r="M28" t="n">
        <v>7</v>
      </c>
      <c r="O28" t="n">
        <v>1</v>
      </c>
      <c r="P28" t="n">
        <v>1</v>
      </c>
      <c r="X28" t="n">
        <v>1</v>
      </c>
      <c r="Y28" t="n">
        <v>1</v>
      </c>
      <c r="Z28" t="n">
        <v>1</v>
      </c>
      <c r="AA28" t="n">
        <v>1</v>
      </c>
      <c r="AB28" t="n">
        <v>1</v>
      </c>
      <c r="AD28" t="n">
        <v>1</v>
      </c>
      <c r="AE28" t="n">
        <v>1</v>
      </c>
      <c r="AF28" t="n">
        <v>10</v>
      </c>
      <c r="AG28" t="inlineStr">
        <is>
          <t>sin_referente</t>
        </is>
      </c>
      <c r="AH28" t="inlineStr">
        <is>
          <t>alineado</t>
        </is>
      </c>
    </row>
    <row r="29">
      <c r="A29" t="inlineStr">
        <is>
          <t>Segunda ley de la termodinámica</t>
        </is>
      </c>
      <c r="B29" t="inlineStr">
        <is>
          <t>alineado</t>
        </is>
      </c>
      <c r="C29" t="n">
        <v>5</v>
      </c>
      <c r="D29" t="n">
        <v>9</v>
      </c>
      <c r="F29" t="n">
        <v>10.5</v>
      </c>
      <c r="I29" t="n">
        <v>9.5</v>
      </c>
      <c r="M29" t="n">
        <v>9.5</v>
      </c>
      <c r="O29" t="n">
        <v>1</v>
      </c>
      <c r="R29" t="n">
        <v>1</v>
      </c>
      <c r="V29" t="n">
        <v>1</v>
      </c>
      <c r="W29" t="n">
        <v>1</v>
      </c>
      <c r="X29" t="n">
        <v>1</v>
      </c>
      <c r="Y29" t="n">
        <v>1</v>
      </c>
      <c r="AB29" t="n">
        <v>1</v>
      </c>
      <c r="AC29" t="n">
        <v>1</v>
      </c>
      <c r="AF29" t="n">
        <v>9</v>
      </c>
      <c r="AG29" t="inlineStr">
        <is>
          <t>retomado</t>
        </is>
      </c>
      <c r="AH29" t="inlineStr">
        <is>
          <t>alineado</t>
        </is>
      </c>
    </row>
    <row r="30">
      <c r="A30" t="inlineStr">
        <is>
          <t>Semiconductores y electrónica básica</t>
        </is>
      </c>
      <c r="B30" t="inlineStr">
        <is>
          <t>alineado</t>
        </is>
      </c>
      <c r="C30" t="n">
        <v>9</v>
      </c>
      <c r="D30" t="n">
        <v>9</v>
      </c>
      <c r="F30" t="n">
        <v>10.5</v>
      </c>
      <c r="G30" t="n">
        <v>8.5</v>
      </c>
      <c r="I30" t="n">
        <v>9.5</v>
      </c>
      <c r="J30" t="n">
        <v>7</v>
      </c>
      <c r="L30" t="n">
        <v>11</v>
      </c>
      <c r="O30" t="n">
        <v>1</v>
      </c>
      <c r="P30" t="n">
        <v>1</v>
      </c>
      <c r="R30" t="n">
        <v>1</v>
      </c>
      <c r="S30" t="n">
        <v>1</v>
      </c>
      <c r="U30" t="n">
        <v>1</v>
      </c>
      <c r="X30" t="n">
        <v>1</v>
      </c>
      <c r="Z30" t="n">
        <v>1</v>
      </c>
      <c r="AA30" t="n">
        <v>1</v>
      </c>
      <c r="AB30" t="n">
        <v>1</v>
      </c>
      <c r="AC30" t="n">
        <v>1</v>
      </c>
      <c r="AD30" t="n">
        <v>1</v>
      </c>
      <c r="AF30" t="n">
        <v>9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Superposición e interferencia de ondas</t>
        </is>
      </c>
      <c r="B31" t="inlineStr">
        <is>
          <t>alineado</t>
        </is>
      </c>
      <c r="C31" t="n">
        <v>10</v>
      </c>
      <c r="D31" t="n">
        <v>10</v>
      </c>
      <c r="F31" t="n">
        <v>10.5</v>
      </c>
      <c r="G31" t="n">
        <v>6</v>
      </c>
      <c r="I31" t="n">
        <v>9.5</v>
      </c>
      <c r="M31" t="n">
        <v>9.5</v>
      </c>
      <c r="O31" t="n">
        <v>1</v>
      </c>
      <c r="R31" t="n">
        <v>1</v>
      </c>
      <c r="V31" t="n">
        <v>1</v>
      </c>
      <c r="W31" t="n">
        <v>1</v>
      </c>
      <c r="Y31" t="n">
        <v>1</v>
      </c>
      <c r="Z31" t="n">
        <v>1</v>
      </c>
      <c r="AA31" t="n">
        <v>1</v>
      </c>
      <c r="AB31" t="n">
        <v>1</v>
      </c>
      <c r="AC31" t="n">
        <v>1</v>
      </c>
      <c r="AD31" t="n">
        <v>1</v>
      </c>
      <c r="AE31" t="n">
        <v>1</v>
      </c>
      <c r="AF31" t="n">
        <v>11</v>
      </c>
      <c r="AG31" t="inlineStr">
        <is>
          <t>solo_especializacion</t>
        </is>
      </c>
      <c r="AH31" t="inlineStr">
        <is>
          <t>solo_especializacion</t>
        </is>
      </c>
    </row>
    <row r="32">
      <c r="A32" t="inlineStr">
        <is>
          <t>Gas ideal y teoría cinética</t>
        </is>
      </c>
      <c r="B32" t="inlineStr">
        <is>
          <t>alineado</t>
        </is>
      </c>
      <c r="C32" t="n">
        <v>8</v>
      </c>
      <c r="D32" t="n">
        <v>9</v>
      </c>
      <c r="F32" t="n">
        <v>10.5</v>
      </c>
      <c r="G32" t="n">
        <v>6</v>
      </c>
      <c r="I32" t="n">
        <v>9.5</v>
      </c>
      <c r="J32" t="n">
        <v>7</v>
      </c>
      <c r="M32" t="n">
        <v>9.5</v>
      </c>
      <c r="O32" t="n">
        <v>1</v>
      </c>
      <c r="P32" t="n">
        <v>1</v>
      </c>
      <c r="R32" t="n">
        <v>1</v>
      </c>
      <c r="V32" t="n">
        <v>1</v>
      </c>
      <c r="W32" t="n">
        <v>1</v>
      </c>
      <c r="Y32" t="n">
        <v>1</v>
      </c>
      <c r="Z32" t="n">
        <v>1</v>
      </c>
      <c r="AA32" t="n">
        <v>1</v>
      </c>
      <c r="AB32" t="n">
        <v>1</v>
      </c>
      <c r="AC32" t="n">
        <v>1</v>
      </c>
      <c r="AD32" t="n">
        <v>1</v>
      </c>
      <c r="AE32" t="n">
        <v>1</v>
      </c>
      <c r="AF32" t="n">
        <v>10</v>
      </c>
      <c r="AG32" t="inlineStr">
        <is>
          <t>retomado</t>
        </is>
      </c>
      <c r="AH32" t="inlineStr">
        <is>
          <t>alineado</t>
        </is>
      </c>
    </row>
    <row r="33">
      <c r="A33" t="inlineStr">
        <is>
          <t>Movimiento, reposo y tipos de trayectoria</t>
        </is>
      </c>
      <c r="B33" t="inlineStr">
        <is>
          <t>previo</t>
        </is>
      </c>
      <c r="C33" t="n">
        <v>2</v>
      </c>
      <c r="E33" t="n">
        <v>2</v>
      </c>
      <c r="G33" t="n">
        <v>6</v>
      </c>
      <c r="I33" t="n">
        <v>2</v>
      </c>
      <c r="L33" t="n">
        <v>9.5</v>
      </c>
      <c r="M33" t="n">
        <v>7</v>
      </c>
      <c r="P33" t="n">
        <v>1</v>
      </c>
      <c r="U33" t="n">
        <v>1</v>
      </c>
      <c r="Z33" t="n">
        <v>1</v>
      </c>
      <c r="AC33" t="n">
        <v>1</v>
      </c>
      <c r="AD33" t="n">
        <v>1</v>
      </c>
      <c r="AF33" t="n">
        <v>2</v>
      </c>
      <c r="AG33" t="inlineStr">
        <is>
          <t>previo</t>
        </is>
      </c>
      <c r="AH33" t="inlineStr">
        <is>
          <t>previo</t>
        </is>
      </c>
    </row>
    <row r="34">
      <c r="A34" t="inlineStr">
        <is>
          <t>Niveles de energía atómicos y espectros</t>
        </is>
      </c>
      <c r="B34" t="inlineStr">
        <is>
          <t>previo</t>
        </is>
      </c>
      <c r="C34" t="n">
        <v>5</v>
      </c>
      <c r="D34" t="n">
        <v>10</v>
      </c>
      <c r="F34" t="n">
        <v>10.5</v>
      </c>
      <c r="G34" t="n">
        <v>8.5</v>
      </c>
      <c r="J34" t="n">
        <v>9</v>
      </c>
      <c r="M34" t="n">
        <v>9.5</v>
      </c>
      <c r="O34" t="n">
        <v>1</v>
      </c>
      <c r="P34" t="n">
        <v>1</v>
      </c>
      <c r="S34" t="n">
        <v>1</v>
      </c>
      <c r="V34" t="n">
        <v>1</v>
      </c>
      <c r="W34" t="n">
        <v>1</v>
      </c>
      <c r="X34" t="n">
        <v>1</v>
      </c>
      <c r="Y34" t="n">
        <v>1</v>
      </c>
      <c r="Z34" t="n">
        <v>1</v>
      </c>
      <c r="AA34" t="n">
        <v>1</v>
      </c>
      <c r="AB34" t="n">
        <v>1</v>
      </c>
      <c r="AC34" t="n">
        <v>1</v>
      </c>
      <c r="AD34" t="n">
        <v>1</v>
      </c>
      <c r="AE34" t="n">
        <v>1</v>
      </c>
      <c r="AF34" t="n">
        <v>10</v>
      </c>
      <c r="AG34" t="inlineStr">
        <is>
          <t>retomado</t>
        </is>
      </c>
      <c r="AH34" t="inlineStr">
        <is>
          <t>previo</t>
        </is>
      </c>
    </row>
    <row r="35">
      <c r="A35" t="inlineStr">
        <is>
          <t>El sonido se produce por vibraciones</t>
        </is>
      </c>
      <c r="B35" t="inlineStr">
        <is>
          <t>previo</t>
        </is>
      </c>
      <c r="C35" t="n">
        <v>2</v>
      </c>
      <c r="E35" t="n">
        <v>2</v>
      </c>
      <c r="F35" t="n">
        <v>8</v>
      </c>
      <c r="G35" t="n">
        <v>2</v>
      </c>
      <c r="I35" t="n">
        <v>2</v>
      </c>
      <c r="J35" t="n">
        <v>7</v>
      </c>
      <c r="L35" t="n">
        <v>9.5</v>
      </c>
      <c r="O35" t="n">
        <v>1</v>
      </c>
      <c r="U35" t="n">
        <v>1</v>
      </c>
      <c r="Y35" t="n">
        <v>1</v>
      </c>
      <c r="Z35" t="n">
        <v>1</v>
      </c>
      <c r="AB35" t="n">
        <v>1</v>
      </c>
      <c r="AC35" t="n">
        <v>1</v>
      </c>
      <c r="AD35" t="n">
        <v>1</v>
      </c>
      <c r="AE35" t="n">
        <v>1</v>
      </c>
      <c r="AF35" t="n">
        <v>2</v>
      </c>
      <c r="AG35" t="inlineStr">
        <is>
          <t>previo</t>
        </is>
      </c>
      <c r="AH35" t="inlineStr">
        <is>
          <t>previo</t>
        </is>
      </c>
    </row>
    <row r="36">
      <c r="A36" t="inlineStr">
        <is>
          <t>Absorción de radiación y efecto invernadero</t>
        </is>
      </c>
      <c r="B36" t="inlineStr">
        <is>
          <t>retomado</t>
        </is>
      </c>
      <c r="C36" t="n">
        <v>7</v>
      </c>
      <c r="D36" t="n">
        <v>10</v>
      </c>
      <c r="E36" t="n">
        <v>9</v>
      </c>
      <c r="F36" t="n">
        <v>10.5</v>
      </c>
      <c r="G36" t="n">
        <v>8.5</v>
      </c>
      <c r="I36" t="n">
        <v>10</v>
      </c>
      <c r="J36" t="n">
        <v>9</v>
      </c>
      <c r="K36" t="n">
        <v>9</v>
      </c>
      <c r="L36" t="n">
        <v>9.5</v>
      </c>
      <c r="M36" t="n">
        <v>7</v>
      </c>
      <c r="N36" t="n">
        <v>1</v>
      </c>
      <c r="O36" t="n">
        <v>1</v>
      </c>
      <c r="P36" t="n">
        <v>1</v>
      </c>
      <c r="R36" t="n">
        <v>1</v>
      </c>
      <c r="S36" t="n">
        <v>1</v>
      </c>
      <c r="T36" t="n">
        <v>1</v>
      </c>
      <c r="U36" t="n">
        <v>1</v>
      </c>
      <c r="V36" t="n">
        <v>1</v>
      </c>
      <c r="W36" t="n">
        <v>1</v>
      </c>
      <c r="X36" t="n">
        <v>1</v>
      </c>
      <c r="Y36" t="n">
        <v>1</v>
      </c>
      <c r="Z36" t="n">
        <v>1</v>
      </c>
      <c r="AB36" t="n">
        <v>1</v>
      </c>
      <c r="AC36" t="n">
        <v>1</v>
      </c>
      <c r="AF36" t="n">
        <v>7</v>
      </c>
      <c r="AG36" t="inlineStr">
        <is>
          <t>retomado</t>
        </is>
      </c>
      <c r="AH36" t="inlineStr">
        <is>
          <t>no_retomado</t>
        </is>
      </c>
    </row>
    <row r="37">
      <c r="A37" t="inlineStr">
        <is>
          <t>Aceleración</t>
        </is>
      </c>
      <c r="B37" t="inlineStr">
        <is>
          <t>retomado</t>
        </is>
      </c>
      <c r="C37" t="n">
        <v>5</v>
      </c>
      <c r="D37" t="n">
        <v>10</v>
      </c>
      <c r="F37" t="n">
        <v>10.5</v>
      </c>
      <c r="G37" t="n">
        <v>8.5</v>
      </c>
      <c r="I37" t="n">
        <v>8</v>
      </c>
      <c r="J37" t="n">
        <v>7</v>
      </c>
      <c r="L37" t="n">
        <v>9.5</v>
      </c>
      <c r="M37" t="n">
        <v>7</v>
      </c>
      <c r="O37" t="n">
        <v>1</v>
      </c>
      <c r="P37" t="n">
        <v>1</v>
      </c>
      <c r="R37" t="n">
        <v>1</v>
      </c>
      <c r="S37" t="n">
        <v>1</v>
      </c>
      <c r="U37" t="n">
        <v>1</v>
      </c>
      <c r="V37" t="n">
        <v>1</v>
      </c>
      <c r="W37" t="n">
        <v>1</v>
      </c>
      <c r="Y37" t="n">
        <v>1</v>
      </c>
      <c r="Z37" t="n">
        <v>1</v>
      </c>
      <c r="AA37" t="n">
        <v>1</v>
      </c>
      <c r="AB37" t="n">
        <v>1</v>
      </c>
      <c r="AC37" t="n">
        <v>1</v>
      </c>
      <c r="AD37" t="n">
        <v>1</v>
      </c>
      <c r="AE37" t="n">
        <v>1</v>
      </c>
      <c r="AF37" t="n">
        <v>5</v>
      </c>
      <c r="AG37" t="inlineStr">
        <is>
          <t>retomado</t>
        </is>
      </c>
      <c r="AH37" t="inlineStr">
        <is>
          <t>retomado</t>
        </is>
      </c>
    </row>
    <row r="38">
      <c r="A38" t="inlineStr">
        <is>
          <t>Aceleración y fuerza centrípeta</t>
        </is>
      </c>
      <c r="B38" t="inlineStr">
        <is>
          <t>retomado</t>
        </is>
      </c>
      <c r="C38" t="n">
        <v>5</v>
      </c>
      <c r="D38" t="n">
        <v>10</v>
      </c>
      <c r="F38" t="n">
        <v>10.5</v>
      </c>
      <c r="L38" t="n">
        <v>11</v>
      </c>
      <c r="M38" t="n">
        <v>7</v>
      </c>
      <c r="O38" t="n">
        <v>1</v>
      </c>
      <c r="U38" t="n">
        <v>1</v>
      </c>
      <c r="W38" t="n">
        <v>1</v>
      </c>
      <c r="Y38" t="n">
        <v>1</v>
      </c>
      <c r="Z38" t="n">
        <v>1</v>
      </c>
      <c r="AA38" t="n">
        <v>1</v>
      </c>
      <c r="AB38" t="n">
        <v>1</v>
      </c>
      <c r="AC38" t="n">
        <v>1</v>
      </c>
      <c r="AD38" t="n">
        <v>1</v>
      </c>
      <c r="AE38" t="n">
        <v>1</v>
      </c>
      <c r="AF38" t="n">
        <v>8</v>
      </c>
      <c r="AG38" t="inlineStr">
        <is>
          <t>retomado</t>
        </is>
      </c>
      <c r="AH38" t="inlineStr">
        <is>
          <t>retomado</t>
        </is>
      </c>
    </row>
    <row r="39">
      <c r="A39" t="inlineStr">
        <is>
          <t>Aplicaciones de las leyes de Newton</t>
        </is>
      </c>
      <c r="B39" t="inlineStr">
        <is>
          <t>retomado</t>
        </is>
      </c>
      <c r="C39" t="n">
        <v>4</v>
      </c>
      <c r="D39" t="n">
        <v>10</v>
      </c>
      <c r="W39" t="n">
        <v>1</v>
      </c>
      <c r="Z39" t="n">
        <v>1</v>
      </c>
      <c r="AB39" t="n">
        <v>1</v>
      </c>
      <c r="AC39" t="n">
        <v>1</v>
      </c>
      <c r="AF39" t="n">
        <v>10</v>
      </c>
      <c r="AG39" t="inlineStr">
        <is>
          <t>retomado</t>
        </is>
      </c>
      <c r="AH39" t="inlineStr">
        <is>
          <t>solo_especializacion</t>
        </is>
      </c>
    </row>
    <row r="40">
      <c r="A40" t="inlineStr">
        <is>
          <t>Observación astronómica en distintas longitudes de onda</t>
        </is>
      </c>
      <c r="B40" t="inlineStr">
        <is>
          <t>retomado</t>
        </is>
      </c>
      <c r="C40" t="n">
        <v>5</v>
      </c>
      <c r="D40" t="n">
        <v>11</v>
      </c>
      <c r="Z40" t="n">
        <v>1</v>
      </c>
      <c r="AF40" t="n">
        <v>11</v>
      </c>
      <c r="AG40" t="inlineStr">
        <is>
          <t>retomado</t>
        </is>
      </c>
      <c r="AH40" t="inlineStr">
        <is>
          <t>sin_referente</t>
        </is>
      </c>
    </row>
    <row r="41">
      <c r="A41" t="inlineStr">
        <is>
          <t>Caída libre</t>
        </is>
      </c>
      <c r="B41" t="inlineStr">
        <is>
          <t>retomado</t>
        </is>
      </c>
      <c r="C41" t="n">
        <v>5</v>
      </c>
      <c r="D41" t="n">
        <v>10</v>
      </c>
      <c r="G41" t="n">
        <v>8.5</v>
      </c>
      <c r="I41" t="n">
        <v>9.5</v>
      </c>
      <c r="J41" t="n">
        <v>7</v>
      </c>
      <c r="L41" t="n">
        <v>9.5</v>
      </c>
      <c r="M41" t="n">
        <v>9.5</v>
      </c>
      <c r="P41" t="n">
        <v>1</v>
      </c>
      <c r="R41" t="n">
        <v>1</v>
      </c>
      <c r="S41" t="n">
        <v>1</v>
      </c>
      <c r="U41" t="n">
        <v>1</v>
      </c>
      <c r="V41" t="n">
        <v>1</v>
      </c>
      <c r="W41" t="n">
        <v>1</v>
      </c>
      <c r="Y41" t="n">
        <v>1</v>
      </c>
      <c r="Z41" t="n">
        <v>1</v>
      </c>
      <c r="AC41" t="n">
        <v>1</v>
      </c>
      <c r="AD41" t="n">
        <v>1</v>
      </c>
      <c r="AE41" t="n">
        <v>1</v>
      </c>
      <c r="AF41" t="n">
        <v>5</v>
      </c>
      <c r="AG41" t="inlineStr">
        <is>
          <t>retomado</t>
        </is>
      </c>
      <c r="AH41" t="inlineStr">
        <is>
          <t>retomado</t>
        </is>
      </c>
    </row>
    <row r="42">
      <c r="A42" t="inlineStr">
        <is>
          <t>Calentamiento y enfriamiento</t>
        </is>
      </c>
      <c r="B42" t="inlineStr">
        <is>
          <t>retomado</t>
        </is>
      </c>
      <c r="C42" t="n">
        <v>2</v>
      </c>
      <c r="D42" t="n">
        <v>9</v>
      </c>
      <c r="E42" t="n">
        <v>2</v>
      </c>
      <c r="F42" t="n">
        <v>8</v>
      </c>
      <c r="G42" t="n">
        <v>6</v>
      </c>
      <c r="I42" t="n">
        <v>2</v>
      </c>
      <c r="J42" t="n">
        <v>7</v>
      </c>
      <c r="L42" t="n">
        <v>9.5</v>
      </c>
      <c r="M42" t="n">
        <v>7</v>
      </c>
      <c r="O42" t="n">
        <v>1</v>
      </c>
      <c r="P42" t="n">
        <v>1</v>
      </c>
      <c r="U42" t="n">
        <v>1</v>
      </c>
      <c r="W42" t="n">
        <v>1</v>
      </c>
      <c r="Y42" t="n">
        <v>1</v>
      </c>
      <c r="Z42" t="n">
        <v>1</v>
      </c>
      <c r="AB42" t="n">
        <v>1</v>
      </c>
      <c r="AD42" t="n">
        <v>1</v>
      </c>
      <c r="AF42" t="n">
        <v>2</v>
      </c>
      <c r="AG42" t="inlineStr">
        <is>
          <t>retomado</t>
        </is>
      </c>
      <c r="AH42" t="inlineStr">
        <is>
          <t>retomado</t>
        </is>
      </c>
    </row>
    <row r="43">
      <c r="A43" t="inlineStr">
        <is>
          <t>Calor como energía en tránsito</t>
        </is>
      </c>
      <c r="B43" t="inlineStr">
        <is>
          <t>retomado</t>
        </is>
      </c>
      <c r="C43" t="n">
        <v>2</v>
      </c>
      <c r="D43" t="n">
        <v>9</v>
      </c>
      <c r="F43" t="n">
        <v>8</v>
      </c>
      <c r="G43" t="n">
        <v>6</v>
      </c>
      <c r="I43" t="n">
        <v>9.5</v>
      </c>
      <c r="J43" t="n">
        <v>7</v>
      </c>
      <c r="L43" t="n">
        <v>9.5</v>
      </c>
      <c r="M43" t="n">
        <v>7</v>
      </c>
      <c r="O43" t="n">
        <v>1</v>
      </c>
      <c r="P43" t="n">
        <v>1</v>
      </c>
      <c r="R43" t="n">
        <v>1</v>
      </c>
      <c r="U43" t="n">
        <v>1</v>
      </c>
      <c r="V43" t="n">
        <v>1</v>
      </c>
      <c r="W43" t="n">
        <v>1</v>
      </c>
      <c r="Y43" t="n">
        <v>1</v>
      </c>
      <c r="Z43" t="n">
        <v>1</v>
      </c>
      <c r="AB43" t="n">
        <v>1</v>
      </c>
      <c r="AD43" t="n">
        <v>1</v>
      </c>
      <c r="AF43" t="n">
        <v>6</v>
      </c>
      <c r="AG43" t="inlineStr">
        <is>
          <t>retomado</t>
        </is>
      </c>
      <c r="AH43" t="inlineStr">
        <is>
          <t>retomado</t>
        </is>
      </c>
    </row>
    <row r="44">
      <c r="A44" t="inlineStr">
        <is>
          <t>Cambios de estado</t>
        </is>
      </c>
      <c r="B44" t="inlineStr">
        <is>
          <t>retomado</t>
        </is>
      </c>
      <c r="C44" t="n">
        <v>2</v>
      </c>
      <c r="D44" t="n">
        <v>9</v>
      </c>
      <c r="E44" t="n">
        <v>2</v>
      </c>
      <c r="F44" t="n">
        <v>8</v>
      </c>
      <c r="G44" t="n">
        <v>2</v>
      </c>
      <c r="I44" t="n">
        <v>3</v>
      </c>
      <c r="J44" t="n">
        <v>7</v>
      </c>
      <c r="L44" t="n">
        <v>9.5</v>
      </c>
      <c r="M44" t="n">
        <v>7</v>
      </c>
      <c r="O44" t="n">
        <v>1</v>
      </c>
      <c r="P44" t="n">
        <v>1</v>
      </c>
      <c r="R44" t="n">
        <v>1</v>
      </c>
      <c r="U44" t="n">
        <v>1</v>
      </c>
      <c r="V44" t="n">
        <v>1</v>
      </c>
      <c r="W44" t="n">
        <v>1</v>
      </c>
      <c r="X44" t="n">
        <v>1</v>
      </c>
      <c r="Y44" t="n">
        <v>1</v>
      </c>
      <c r="Z44" t="n">
        <v>1</v>
      </c>
      <c r="AA44" t="n">
        <v>1</v>
      </c>
      <c r="AB44" t="n">
        <v>1</v>
      </c>
      <c r="AC44" t="n">
        <v>1</v>
      </c>
      <c r="AD44" t="n">
        <v>1</v>
      </c>
      <c r="AF44" t="n">
        <v>2</v>
      </c>
      <c r="AG44" t="inlineStr">
        <is>
          <t>retomado</t>
        </is>
      </c>
      <c r="AH44" t="inlineStr">
        <is>
          <t>retomado</t>
        </is>
      </c>
    </row>
    <row r="45">
      <c r="A45" t="inlineStr">
        <is>
          <t>Campo magnético y magnetismo terrestre</t>
        </is>
      </c>
      <c r="B45" t="inlineStr">
        <is>
          <t>retomado</t>
        </is>
      </c>
      <c r="C45" t="n">
        <v>5</v>
      </c>
      <c r="D45" t="n">
        <v>9</v>
      </c>
      <c r="F45" t="n">
        <v>8</v>
      </c>
      <c r="G45" t="n">
        <v>6</v>
      </c>
      <c r="I45" t="n">
        <v>7</v>
      </c>
      <c r="J45" t="n">
        <v>7</v>
      </c>
      <c r="L45" t="n">
        <v>9.5</v>
      </c>
      <c r="M45" t="n">
        <v>7</v>
      </c>
      <c r="O45" t="n">
        <v>1</v>
      </c>
      <c r="P45" t="n">
        <v>1</v>
      </c>
      <c r="R45" t="n">
        <v>1</v>
      </c>
      <c r="S45" t="n">
        <v>1</v>
      </c>
      <c r="U45" t="n">
        <v>1</v>
      </c>
      <c r="V45" t="n">
        <v>1</v>
      </c>
      <c r="W45" t="n">
        <v>1</v>
      </c>
      <c r="Y45" t="n">
        <v>1</v>
      </c>
      <c r="Z45" t="n">
        <v>1</v>
      </c>
      <c r="AA45" t="n">
        <v>1</v>
      </c>
      <c r="AB45" t="n">
        <v>1</v>
      </c>
      <c r="AC45" t="n">
        <v>1</v>
      </c>
      <c r="AD45" t="n">
        <v>1</v>
      </c>
      <c r="AE45" t="n">
        <v>1</v>
      </c>
      <c r="AF45" t="n">
        <v>5</v>
      </c>
      <c r="AG45" t="inlineStr">
        <is>
          <t>retomado</t>
        </is>
      </c>
      <c r="AH45" t="inlineStr">
        <is>
          <t>retomado</t>
        </is>
      </c>
    </row>
    <row r="46">
      <c r="A46" t="inlineStr">
        <is>
          <t>Capacidad calorífica y calor específico</t>
        </is>
      </c>
      <c r="B46" t="inlineStr">
        <is>
          <t>retomado</t>
        </is>
      </c>
      <c r="C46" t="n">
        <v>3</v>
      </c>
      <c r="D46" t="n">
        <v>9</v>
      </c>
      <c r="F46" t="n">
        <v>8</v>
      </c>
      <c r="G46" t="n">
        <v>8.5</v>
      </c>
      <c r="J46" t="n">
        <v>7</v>
      </c>
      <c r="M46" t="n">
        <v>7</v>
      </c>
      <c r="O46" t="n">
        <v>1</v>
      </c>
      <c r="P46" t="n">
        <v>1</v>
      </c>
      <c r="W46" t="n">
        <v>1</v>
      </c>
      <c r="Y46" t="n">
        <v>1</v>
      </c>
      <c r="Z46" t="n">
        <v>1</v>
      </c>
      <c r="AB46" t="n">
        <v>1</v>
      </c>
      <c r="AC46" t="n">
        <v>1</v>
      </c>
      <c r="AD46" t="n">
        <v>1</v>
      </c>
      <c r="AF46" t="n">
        <v>6</v>
      </c>
      <c r="AG46" t="inlineStr">
        <is>
          <t>retomado</t>
        </is>
      </c>
      <c r="AH46" t="inlineStr">
        <is>
          <t>retomado</t>
        </is>
      </c>
    </row>
    <row r="47">
      <c r="A47" t="inlineStr">
        <is>
          <t>Carga eléctrica y electrización</t>
        </is>
      </c>
      <c r="B47" t="inlineStr">
        <is>
          <t>retomado</t>
        </is>
      </c>
      <c r="C47" t="n">
        <v>3</v>
      </c>
      <c r="D47" t="n">
        <v>9</v>
      </c>
      <c r="F47" t="n">
        <v>8</v>
      </c>
      <c r="G47" t="n">
        <v>6</v>
      </c>
      <c r="I47" t="n">
        <v>7</v>
      </c>
      <c r="J47" t="n">
        <v>7</v>
      </c>
      <c r="K47" t="n">
        <v>8</v>
      </c>
      <c r="L47" t="n">
        <v>9.5</v>
      </c>
      <c r="M47" t="n">
        <v>7</v>
      </c>
      <c r="O47" t="n">
        <v>1</v>
      </c>
      <c r="P47" t="n">
        <v>1</v>
      </c>
      <c r="U47" t="n">
        <v>1</v>
      </c>
      <c r="V47" t="n">
        <v>1</v>
      </c>
      <c r="W47" t="n">
        <v>1</v>
      </c>
      <c r="Y47" t="n">
        <v>1</v>
      </c>
      <c r="Z47" t="n">
        <v>1</v>
      </c>
      <c r="AA47" t="n">
        <v>1</v>
      </c>
      <c r="AB47" t="n">
        <v>1</v>
      </c>
      <c r="AD47" t="n">
        <v>1</v>
      </c>
      <c r="AE47" t="n">
        <v>1</v>
      </c>
      <c r="AF47" t="n">
        <v>5</v>
      </c>
      <c r="AG47" t="inlineStr">
        <is>
          <t>retomado</t>
        </is>
      </c>
      <c r="AH47" t="inlineStr">
        <is>
          <t>retomado</t>
        </is>
      </c>
    </row>
    <row r="48">
      <c r="A48" t="inlineStr">
        <is>
          <t>Centro de gravedad y estabilidad</t>
        </is>
      </c>
      <c r="B48" t="inlineStr">
        <is>
          <t>retomado</t>
        </is>
      </c>
      <c r="C48" t="n">
        <v>2</v>
      </c>
      <c r="D48" t="n">
        <v>10</v>
      </c>
      <c r="L48" t="n">
        <v>9.5</v>
      </c>
      <c r="U48" t="n">
        <v>1</v>
      </c>
      <c r="Z48" t="n">
        <v>1</v>
      </c>
      <c r="AA48" t="n">
        <v>1</v>
      </c>
      <c r="AB48" t="n">
        <v>1</v>
      </c>
      <c r="AD48" t="n">
        <v>1</v>
      </c>
      <c r="AF48" t="n">
        <v>10</v>
      </c>
      <c r="AG48" t="inlineStr">
        <is>
          <t>retomado</t>
        </is>
      </c>
      <c r="AH48" t="inlineStr">
        <is>
          <t>solo_especializacion</t>
        </is>
      </c>
    </row>
    <row r="49">
      <c r="A49" t="inlineStr">
        <is>
          <t>Circuito eléctrico simple</t>
        </is>
      </c>
      <c r="B49" t="inlineStr">
        <is>
          <t>retomado</t>
        </is>
      </c>
      <c r="C49" t="n">
        <v>2</v>
      </c>
      <c r="D49" t="n">
        <v>9</v>
      </c>
      <c r="E49" t="n">
        <v>5</v>
      </c>
      <c r="F49" t="n">
        <v>8</v>
      </c>
      <c r="G49" t="n">
        <v>2</v>
      </c>
      <c r="I49" t="n">
        <v>2</v>
      </c>
      <c r="J49" t="n">
        <v>7</v>
      </c>
      <c r="K49" t="n">
        <v>8</v>
      </c>
      <c r="L49" t="n">
        <v>9.5</v>
      </c>
      <c r="M49" t="n">
        <v>7</v>
      </c>
      <c r="O49" t="n">
        <v>1</v>
      </c>
      <c r="P49" t="n">
        <v>1</v>
      </c>
      <c r="U49" t="n">
        <v>1</v>
      </c>
      <c r="W49" t="n">
        <v>1</v>
      </c>
      <c r="Y49" t="n">
        <v>1</v>
      </c>
      <c r="Z49" t="n">
        <v>1</v>
      </c>
      <c r="AB49" t="n">
        <v>1</v>
      </c>
      <c r="AC49" t="n">
        <v>1</v>
      </c>
      <c r="AD49" t="n">
        <v>1</v>
      </c>
      <c r="AE49" t="n">
        <v>1</v>
      </c>
      <c r="AF49" t="n">
        <v>2</v>
      </c>
      <c r="AG49" t="inlineStr">
        <is>
          <t>retomado</t>
        </is>
      </c>
      <c r="AH49" t="inlineStr">
        <is>
          <t>retomado</t>
        </is>
      </c>
    </row>
    <row r="50">
      <c r="A50" t="inlineStr">
        <is>
          <t>Circuitos en serie y en paralelo</t>
        </is>
      </c>
      <c r="B50" t="inlineStr">
        <is>
          <t>retomado</t>
        </is>
      </c>
      <c r="C50" t="n">
        <v>4</v>
      </c>
      <c r="D50" t="n">
        <v>9</v>
      </c>
      <c r="F50" t="n">
        <v>8</v>
      </c>
      <c r="G50" t="n">
        <v>6</v>
      </c>
      <c r="I50" t="n">
        <v>3</v>
      </c>
      <c r="J50" t="n">
        <v>7</v>
      </c>
      <c r="K50" t="n">
        <v>8</v>
      </c>
      <c r="L50" t="n">
        <v>9.5</v>
      </c>
      <c r="O50" t="n">
        <v>1</v>
      </c>
      <c r="P50" t="n">
        <v>1</v>
      </c>
      <c r="U50" t="n">
        <v>1</v>
      </c>
      <c r="W50" t="n">
        <v>1</v>
      </c>
      <c r="Y50" t="n">
        <v>1</v>
      </c>
      <c r="Z50" t="n">
        <v>1</v>
      </c>
      <c r="AB50" t="n">
        <v>1</v>
      </c>
      <c r="AD50" t="n">
        <v>1</v>
      </c>
      <c r="AE50" t="n">
        <v>1</v>
      </c>
      <c r="AF50" t="n">
        <v>6</v>
      </c>
      <c r="AG50" t="inlineStr">
        <is>
          <t>retomado</t>
        </is>
      </c>
      <c r="AH50" t="inlineStr">
        <is>
          <t>retomado</t>
        </is>
      </c>
    </row>
    <row r="51">
      <c r="A51" t="inlineStr">
        <is>
          <t>Color y dispersión de la luz</t>
        </is>
      </c>
      <c r="B51" t="inlineStr">
        <is>
          <t>retomado</t>
        </is>
      </c>
      <c r="C51" t="n">
        <v>2</v>
      </c>
      <c r="D51" t="n">
        <v>10</v>
      </c>
      <c r="F51" t="n">
        <v>8</v>
      </c>
      <c r="G51" t="n">
        <v>6</v>
      </c>
      <c r="J51" t="n">
        <v>7</v>
      </c>
      <c r="K51" t="n">
        <v>9</v>
      </c>
      <c r="M51" t="n">
        <v>7</v>
      </c>
      <c r="O51" t="n">
        <v>1</v>
      </c>
      <c r="S51" t="n">
        <v>1</v>
      </c>
      <c r="T51" t="n">
        <v>1</v>
      </c>
      <c r="Y51" t="n">
        <v>1</v>
      </c>
      <c r="Z51" t="n">
        <v>1</v>
      </c>
      <c r="AB51" t="n">
        <v>1</v>
      </c>
      <c r="AC51" t="n">
        <v>1</v>
      </c>
      <c r="AF51" t="n">
        <v>2</v>
      </c>
      <c r="AG51" t="inlineStr">
        <is>
          <t>retomado</t>
        </is>
      </c>
      <c r="AH51" t="inlineStr">
        <is>
          <t>retomado</t>
        </is>
      </c>
    </row>
    <row r="52">
      <c r="A52" t="inlineStr">
        <is>
          <t>Conductores y aislantes eléctricos</t>
        </is>
      </c>
      <c r="B52" t="inlineStr">
        <is>
          <t>retomado</t>
        </is>
      </c>
      <c r="C52" t="n">
        <v>4</v>
      </c>
      <c r="D52" t="n">
        <v>10</v>
      </c>
      <c r="E52" t="n">
        <v>5</v>
      </c>
      <c r="F52" t="n">
        <v>8</v>
      </c>
      <c r="G52" t="n">
        <v>2</v>
      </c>
      <c r="I52" t="n">
        <v>2</v>
      </c>
      <c r="J52" t="n">
        <v>7</v>
      </c>
      <c r="K52" t="n">
        <v>8</v>
      </c>
      <c r="L52" t="n">
        <v>9.5</v>
      </c>
      <c r="M52" t="n">
        <v>7</v>
      </c>
      <c r="O52" t="n">
        <v>1</v>
      </c>
      <c r="R52" t="n">
        <v>1</v>
      </c>
      <c r="S52" t="n">
        <v>1</v>
      </c>
      <c r="U52" t="n">
        <v>1</v>
      </c>
      <c r="X52" t="n">
        <v>1</v>
      </c>
      <c r="Y52" t="n">
        <v>1</v>
      </c>
      <c r="Z52" t="n">
        <v>1</v>
      </c>
      <c r="AB52" t="n">
        <v>1</v>
      </c>
      <c r="AD52" t="n">
        <v>1</v>
      </c>
      <c r="AF52" t="n">
        <v>4</v>
      </c>
      <c r="AG52" t="inlineStr">
        <is>
          <t>retomado</t>
        </is>
      </c>
      <c r="AH52" t="inlineStr">
        <is>
          <t>retomado</t>
        </is>
      </c>
    </row>
    <row r="53">
      <c r="A53" t="inlineStr">
        <is>
          <t>Conservación de la energía</t>
        </is>
      </c>
      <c r="B53" t="inlineStr">
        <is>
          <t>retomado</t>
        </is>
      </c>
      <c r="C53" t="n">
        <v>5</v>
      </c>
      <c r="D53" t="n">
        <v>9</v>
      </c>
      <c r="E53" t="n">
        <v>8</v>
      </c>
      <c r="F53" t="n">
        <v>8</v>
      </c>
      <c r="G53" t="n">
        <v>6</v>
      </c>
      <c r="I53" t="n">
        <v>8</v>
      </c>
      <c r="J53" t="n">
        <v>7</v>
      </c>
      <c r="L53" t="n">
        <v>9.5</v>
      </c>
      <c r="M53" t="n">
        <v>7</v>
      </c>
      <c r="O53" t="n">
        <v>1</v>
      </c>
      <c r="P53" t="n">
        <v>1</v>
      </c>
      <c r="R53" t="n">
        <v>1</v>
      </c>
      <c r="S53" t="n">
        <v>1</v>
      </c>
      <c r="U53" t="n">
        <v>1</v>
      </c>
      <c r="V53" t="n">
        <v>1</v>
      </c>
      <c r="W53" t="n">
        <v>1</v>
      </c>
      <c r="Y53" t="n">
        <v>1</v>
      </c>
      <c r="Z53" t="n">
        <v>1</v>
      </c>
      <c r="AA53" t="n">
        <v>1</v>
      </c>
      <c r="AB53" t="n">
        <v>1</v>
      </c>
      <c r="AC53" t="n">
        <v>1</v>
      </c>
      <c r="AD53" t="n">
        <v>1</v>
      </c>
      <c r="AE53" t="n">
        <v>1</v>
      </c>
      <c r="AF53" t="n">
        <v>5</v>
      </c>
      <c r="AG53" t="inlineStr">
        <is>
          <t>retomado</t>
        </is>
      </c>
      <c r="AH53" t="inlineStr">
        <is>
          <t>retomado</t>
        </is>
      </c>
    </row>
    <row r="54">
      <c r="A54" t="inlineStr">
        <is>
          <t>Conservación de la energía mecánica</t>
        </is>
      </c>
      <c r="B54" t="inlineStr">
        <is>
          <t>retomado</t>
        </is>
      </c>
      <c r="C54" t="n">
        <v>5</v>
      </c>
      <c r="D54" t="n">
        <v>9</v>
      </c>
      <c r="F54" t="n">
        <v>10.5</v>
      </c>
      <c r="G54" t="n">
        <v>8.5</v>
      </c>
      <c r="I54" t="n">
        <v>8</v>
      </c>
      <c r="J54" t="n">
        <v>7</v>
      </c>
      <c r="L54" t="n">
        <v>9.5</v>
      </c>
      <c r="M54" t="n">
        <v>7</v>
      </c>
      <c r="O54" t="n">
        <v>1</v>
      </c>
      <c r="P54" t="n">
        <v>1</v>
      </c>
      <c r="R54" t="n">
        <v>1</v>
      </c>
      <c r="U54" t="n">
        <v>1</v>
      </c>
      <c r="Y54" t="n">
        <v>1</v>
      </c>
      <c r="Z54" t="n">
        <v>1</v>
      </c>
      <c r="AA54" t="n">
        <v>1</v>
      </c>
      <c r="AB54" t="n">
        <v>1</v>
      </c>
      <c r="AC54" t="n">
        <v>1</v>
      </c>
      <c r="AD54" t="n">
        <v>1</v>
      </c>
      <c r="AE54" t="n">
        <v>1</v>
      </c>
      <c r="AF54" t="n">
        <v>5</v>
      </c>
      <c r="AG54" t="inlineStr">
        <is>
          <t>retomado</t>
        </is>
      </c>
      <c r="AH54" t="inlineStr">
        <is>
          <t>retomado</t>
        </is>
      </c>
    </row>
    <row r="55">
      <c r="A55" t="inlineStr">
        <is>
          <t>Conservación del momento lineal</t>
        </is>
      </c>
      <c r="B55" t="inlineStr">
        <is>
          <t>retomado</t>
        </is>
      </c>
      <c r="C55" t="n">
        <v>8</v>
      </c>
      <c r="D55" t="n">
        <v>10</v>
      </c>
      <c r="F55" t="n">
        <v>10.5</v>
      </c>
      <c r="G55" t="n">
        <v>8.5</v>
      </c>
      <c r="L55" t="n">
        <v>11</v>
      </c>
      <c r="O55" t="n">
        <v>1</v>
      </c>
      <c r="P55" t="n">
        <v>1</v>
      </c>
      <c r="U55" t="n">
        <v>1</v>
      </c>
      <c r="W55" t="n">
        <v>1</v>
      </c>
      <c r="Y55" t="n">
        <v>1</v>
      </c>
      <c r="Z55" t="n">
        <v>1</v>
      </c>
      <c r="AA55" t="n">
        <v>1</v>
      </c>
      <c r="AB55" t="n">
        <v>1</v>
      </c>
      <c r="AC55" t="n">
        <v>1</v>
      </c>
      <c r="AD55" t="n">
        <v>1</v>
      </c>
      <c r="AE55" t="n">
        <v>1</v>
      </c>
      <c r="AF55" t="n">
        <v>8</v>
      </c>
      <c r="AG55" t="inlineStr">
        <is>
          <t>retomado</t>
        </is>
      </c>
      <c r="AH55" t="inlineStr">
        <is>
          <t>retomado</t>
        </is>
      </c>
    </row>
    <row r="56">
      <c r="A56" t="inlineStr">
        <is>
          <t>Corriente, voltaje y resistencia</t>
        </is>
      </c>
      <c r="B56" t="inlineStr">
        <is>
          <t>retomado</t>
        </is>
      </c>
      <c r="C56" t="n">
        <v>6</v>
      </c>
      <c r="D56" t="n">
        <v>9</v>
      </c>
      <c r="F56" t="n">
        <v>8</v>
      </c>
      <c r="G56" t="n">
        <v>4</v>
      </c>
      <c r="I56" t="n">
        <v>3</v>
      </c>
      <c r="J56" t="n">
        <v>7</v>
      </c>
      <c r="K56" t="n">
        <v>8</v>
      </c>
      <c r="L56" t="n">
        <v>9.5</v>
      </c>
      <c r="M56" t="n">
        <v>7</v>
      </c>
      <c r="O56" t="n">
        <v>1</v>
      </c>
      <c r="P56" t="n">
        <v>1</v>
      </c>
      <c r="R56" t="n">
        <v>1</v>
      </c>
      <c r="U56" t="n">
        <v>1</v>
      </c>
      <c r="V56" t="n">
        <v>1</v>
      </c>
      <c r="W56" t="n">
        <v>1</v>
      </c>
      <c r="Y56" t="n">
        <v>1</v>
      </c>
      <c r="Z56" t="n">
        <v>1</v>
      </c>
      <c r="AA56" t="n">
        <v>1</v>
      </c>
      <c r="AB56" t="n">
        <v>1</v>
      </c>
      <c r="AC56" t="n">
        <v>1</v>
      </c>
      <c r="AD56" t="n">
        <v>1</v>
      </c>
      <c r="AE56" t="n">
        <v>1</v>
      </c>
      <c r="AF56" t="n">
        <v>6</v>
      </c>
      <c r="AG56" t="inlineStr">
        <is>
          <t>retomado</t>
        </is>
      </c>
      <c r="AH56" t="inlineStr">
        <is>
          <t>retomado</t>
        </is>
      </c>
    </row>
    <row r="57">
      <c r="A57" t="inlineStr">
        <is>
          <t>Expansión del universo y Big Bang</t>
        </is>
      </c>
      <c r="B57" t="inlineStr">
        <is>
          <t>retomado</t>
        </is>
      </c>
      <c r="C57" t="n">
        <v>5</v>
      </c>
      <c r="D57" t="n">
        <v>11</v>
      </c>
      <c r="E57" t="n">
        <v>9</v>
      </c>
      <c r="F57" t="n">
        <v>10.5</v>
      </c>
      <c r="I57" t="n">
        <v>10</v>
      </c>
      <c r="J57" t="n">
        <v>7</v>
      </c>
      <c r="K57" t="n">
        <v>8</v>
      </c>
      <c r="M57" t="n">
        <v>9.5</v>
      </c>
      <c r="N57" t="n">
        <v>1</v>
      </c>
      <c r="O57" t="n">
        <v>1</v>
      </c>
      <c r="R57" t="n">
        <v>1</v>
      </c>
      <c r="S57" t="n">
        <v>1</v>
      </c>
      <c r="V57" t="n">
        <v>1</v>
      </c>
      <c r="W57" t="n">
        <v>1</v>
      </c>
      <c r="X57" t="n">
        <v>1</v>
      </c>
      <c r="Y57" t="n">
        <v>1</v>
      </c>
      <c r="Z57" t="n">
        <v>1</v>
      </c>
      <c r="AA57" t="n">
        <v>1</v>
      </c>
      <c r="AB57" t="n">
        <v>1</v>
      </c>
      <c r="AC57" t="n">
        <v>1</v>
      </c>
      <c r="AD57" t="n">
        <v>1</v>
      </c>
      <c r="AF57" t="n">
        <v>5</v>
      </c>
      <c r="AG57" t="inlineStr">
        <is>
          <t>retomado</t>
        </is>
      </c>
      <c r="AH57" t="inlineStr">
        <is>
          <t>retomado</t>
        </is>
      </c>
    </row>
    <row r="58">
      <c r="A58" t="inlineStr">
        <is>
          <t>Densidad</t>
        </is>
      </c>
      <c r="B58" t="inlineStr">
        <is>
          <t>retomado</t>
        </is>
      </c>
      <c r="C58" t="n">
        <v>2</v>
      </c>
      <c r="D58" t="n">
        <v>9</v>
      </c>
      <c r="F58" t="n">
        <v>8</v>
      </c>
      <c r="G58" t="n">
        <v>6</v>
      </c>
      <c r="I58" t="n">
        <v>2</v>
      </c>
      <c r="J58" t="n">
        <v>7</v>
      </c>
      <c r="L58" t="n">
        <v>9.5</v>
      </c>
      <c r="M58" t="n">
        <v>7</v>
      </c>
      <c r="O58" t="n">
        <v>1</v>
      </c>
      <c r="P58" t="n">
        <v>1</v>
      </c>
      <c r="U58" t="n">
        <v>1</v>
      </c>
      <c r="Y58" t="n">
        <v>1</v>
      </c>
      <c r="Z58" t="n">
        <v>1</v>
      </c>
      <c r="AD58" t="n">
        <v>1</v>
      </c>
      <c r="AF58" t="n">
        <v>2</v>
      </c>
      <c r="AG58" t="inlineStr">
        <is>
          <t>retomado</t>
        </is>
      </c>
      <c r="AH58" t="inlineStr">
        <is>
          <t>retomado</t>
        </is>
      </c>
    </row>
    <row r="59">
      <c r="A59" t="inlineStr">
        <is>
          <t>Dilatación térmica</t>
        </is>
      </c>
      <c r="B59" t="inlineStr">
        <is>
          <t>retomado</t>
        </is>
      </c>
      <c r="C59" t="n">
        <v>6</v>
      </c>
      <c r="D59" t="n">
        <v>10</v>
      </c>
      <c r="F59" t="n">
        <v>8</v>
      </c>
      <c r="G59" t="n">
        <v>6</v>
      </c>
      <c r="I59" t="n">
        <v>3</v>
      </c>
      <c r="J59" t="n">
        <v>7</v>
      </c>
      <c r="L59" t="n">
        <v>9.5</v>
      </c>
      <c r="M59" t="n">
        <v>7</v>
      </c>
      <c r="O59" t="n">
        <v>1</v>
      </c>
      <c r="U59" t="n">
        <v>1</v>
      </c>
      <c r="AB59" t="n">
        <v>1</v>
      </c>
      <c r="AF59" t="n">
        <v>6</v>
      </c>
      <c r="AG59" t="inlineStr">
        <is>
          <t>retomado</t>
        </is>
      </c>
      <c r="AH59" t="inlineStr">
        <is>
          <t>retomado</t>
        </is>
      </c>
    </row>
    <row r="60">
      <c r="A60" t="inlineStr">
        <is>
          <t>Dinámica y energía de rotación</t>
        </is>
      </c>
      <c r="B60" t="inlineStr">
        <is>
          <t>retomado</t>
        </is>
      </c>
      <c r="C60" t="n">
        <v>5</v>
      </c>
      <c r="D60" t="n">
        <v>10</v>
      </c>
      <c r="Z60" t="n">
        <v>1</v>
      </c>
      <c r="AF60" t="n">
        <v>5</v>
      </c>
      <c r="AG60" t="inlineStr">
        <is>
          <t>retomado</t>
        </is>
      </c>
      <c r="AH60" t="inlineStr">
        <is>
          <t>retomado</t>
        </is>
      </c>
    </row>
    <row r="61">
      <c r="A61" t="inlineStr">
        <is>
          <t>Disipación de energía y eficiencia</t>
        </is>
      </c>
      <c r="B61" t="inlineStr">
        <is>
          <t>retomado</t>
        </is>
      </c>
      <c r="C61" t="n">
        <v>2</v>
      </c>
      <c r="D61" t="n">
        <v>9</v>
      </c>
      <c r="E61" t="n">
        <v>8</v>
      </c>
      <c r="F61" t="n">
        <v>10.5</v>
      </c>
      <c r="G61" t="n">
        <v>8.5</v>
      </c>
      <c r="I61" t="n">
        <v>8</v>
      </c>
      <c r="J61" t="n">
        <v>7</v>
      </c>
      <c r="K61" t="n">
        <v>8</v>
      </c>
      <c r="L61" t="n">
        <v>9.5</v>
      </c>
      <c r="M61" t="n">
        <v>7</v>
      </c>
      <c r="O61" t="n">
        <v>1</v>
      </c>
      <c r="P61" t="n">
        <v>1</v>
      </c>
      <c r="R61" t="n">
        <v>1</v>
      </c>
      <c r="S61" t="n">
        <v>1</v>
      </c>
      <c r="U61" t="n">
        <v>1</v>
      </c>
      <c r="V61" t="n">
        <v>1</v>
      </c>
      <c r="W61" t="n">
        <v>1</v>
      </c>
      <c r="Y61" t="n">
        <v>1</v>
      </c>
      <c r="Z61" t="n">
        <v>1</v>
      </c>
      <c r="AB61" t="n">
        <v>1</v>
      </c>
      <c r="AC61" t="n">
        <v>1</v>
      </c>
      <c r="AD61" t="n">
        <v>1</v>
      </c>
      <c r="AF61" t="n">
        <v>2</v>
      </c>
      <c r="AG61" t="inlineStr">
        <is>
          <t>retomado</t>
        </is>
      </c>
      <c r="AH61" t="inlineStr">
        <is>
          <t>retomado</t>
        </is>
      </c>
    </row>
    <row r="62">
      <c r="A62" t="inlineStr">
        <is>
          <t>Efecto Doppler</t>
        </is>
      </c>
      <c r="B62" t="inlineStr">
        <is>
          <t>retomado</t>
        </is>
      </c>
      <c r="C62" t="n">
        <v>8</v>
      </c>
      <c r="D62" t="n">
        <v>11</v>
      </c>
      <c r="M62" t="n">
        <v>9.5</v>
      </c>
      <c r="V62" t="n">
        <v>1</v>
      </c>
      <c r="Z62" t="n">
        <v>1</v>
      </c>
      <c r="AA62" t="n">
        <v>1</v>
      </c>
      <c r="AB62" t="n">
        <v>1</v>
      </c>
      <c r="AC62" t="n">
        <v>1</v>
      </c>
      <c r="AF62" t="n">
        <v>11</v>
      </c>
      <c r="AG62" t="inlineStr">
        <is>
          <t>retomado</t>
        </is>
      </c>
      <c r="AH62" t="inlineStr">
        <is>
          <t>solo_especializacion</t>
        </is>
      </c>
    </row>
    <row r="63">
      <c r="A63" t="inlineStr">
        <is>
          <t>Esfuerzo, deformación y módulo de Young</t>
        </is>
      </c>
      <c r="B63" t="inlineStr">
        <is>
          <t>retomado</t>
        </is>
      </c>
      <c r="C63" t="n">
        <v>2</v>
      </c>
      <c r="D63" t="n">
        <v>11</v>
      </c>
      <c r="G63" t="n">
        <v>8.5</v>
      </c>
      <c r="P63" t="n">
        <v>1</v>
      </c>
      <c r="Y63" t="n">
        <v>1</v>
      </c>
      <c r="AF63" t="n">
        <v>2</v>
      </c>
      <c r="AG63" t="inlineStr">
        <is>
          <t>retomado</t>
        </is>
      </c>
      <c r="AH63" t="inlineStr">
        <is>
          <t>retomado</t>
        </is>
      </c>
    </row>
    <row r="64">
      <c r="A64" t="inlineStr">
        <is>
          <t>Electroimanes y efecto magnético de la corriente</t>
        </is>
      </c>
      <c r="B64" t="inlineStr">
        <is>
          <t>retomado</t>
        </is>
      </c>
      <c r="C64" t="n">
        <v>6</v>
      </c>
      <c r="D64" t="n">
        <v>9</v>
      </c>
      <c r="F64" t="n">
        <v>8</v>
      </c>
      <c r="G64" t="n">
        <v>6</v>
      </c>
      <c r="I64" t="n">
        <v>4</v>
      </c>
      <c r="J64" t="n">
        <v>7</v>
      </c>
      <c r="L64" t="n">
        <v>9.5</v>
      </c>
      <c r="M64" t="n">
        <v>7</v>
      </c>
      <c r="O64" t="n">
        <v>1</v>
      </c>
      <c r="P64" t="n">
        <v>1</v>
      </c>
      <c r="U64" t="n">
        <v>1</v>
      </c>
      <c r="W64" t="n">
        <v>1</v>
      </c>
      <c r="X64" t="n">
        <v>1</v>
      </c>
      <c r="Y64" t="n">
        <v>1</v>
      </c>
      <c r="Z64" t="n">
        <v>1</v>
      </c>
      <c r="AA64" t="n">
        <v>1</v>
      </c>
      <c r="AB64" t="n">
        <v>1</v>
      </c>
      <c r="AC64" t="n">
        <v>1</v>
      </c>
      <c r="AD64" t="n">
        <v>1</v>
      </c>
      <c r="AE64" t="n">
        <v>1</v>
      </c>
      <c r="AF64" t="n">
        <v>6</v>
      </c>
      <c r="AG64" t="inlineStr">
        <is>
          <t>retomado</t>
        </is>
      </c>
      <c r="AH64" t="inlineStr">
        <is>
          <t>retomado</t>
        </is>
      </c>
    </row>
    <row r="65">
      <c r="A65" t="inlineStr">
        <is>
          <t>Energía cinética</t>
        </is>
      </c>
      <c r="B65" t="inlineStr">
        <is>
          <t>retomado</t>
        </is>
      </c>
      <c r="C65" t="n">
        <v>2</v>
      </c>
      <c r="D65" t="n">
        <v>10</v>
      </c>
      <c r="E65" t="n">
        <v>7</v>
      </c>
      <c r="G65" t="n">
        <v>8.5</v>
      </c>
      <c r="I65" t="n">
        <v>8</v>
      </c>
      <c r="J65" t="n">
        <v>7</v>
      </c>
      <c r="L65" t="n">
        <v>9.5</v>
      </c>
      <c r="M65" t="n">
        <v>7</v>
      </c>
      <c r="P65" t="n">
        <v>1</v>
      </c>
      <c r="R65" t="n">
        <v>1</v>
      </c>
      <c r="S65" t="n">
        <v>1</v>
      </c>
      <c r="U65" t="n">
        <v>1</v>
      </c>
      <c r="V65" t="n">
        <v>1</v>
      </c>
      <c r="W65" t="n">
        <v>1</v>
      </c>
      <c r="Y65" t="n">
        <v>1</v>
      </c>
      <c r="Z65" t="n">
        <v>1</v>
      </c>
      <c r="AA65" t="n">
        <v>1</v>
      </c>
      <c r="AB65" t="n">
        <v>1</v>
      </c>
      <c r="AC65" t="n">
        <v>1</v>
      </c>
      <c r="AD65" t="n">
        <v>1</v>
      </c>
      <c r="AE65" t="n">
        <v>1</v>
      </c>
      <c r="AF65" t="n">
        <v>5</v>
      </c>
      <c r="AG65" t="inlineStr">
        <is>
          <t>retomado</t>
        </is>
      </c>
      <c r="AH65" t="inlineStr">
        <is>
          <t>retomado</t>
        </is>
      </c>
    </row>
    <row r="66">
      <c r="A66" t="inlineStr">
        <is>
          <t>Energía potencial gravitatoria y elástica</t>
        </is>
      </c>
      <c r="B66" t="inlineStr">
        <is>
          <t>retomado</t>
        </is>
      </c>
      <c r="C66" t="n">
        <v>5</v>
      </c>
      <c r="D66" t="n">
        <v>10</v>
      </c>
      <c r="E66" t="n">
        <v>7</v>
      </c>
      <c r="G66" t="n">
        <v>6</v>
      </c>
      <c r="I66" t="n">
        <v>8</v>
      </c>
      <c r="J66" t="n">
        <v>7</v>
      </c>
      <c r="L66" t="n">
        <v>9.5</v>
      </c>
      <c r="M66" t="n">
        <v>7</v>
      </c>
      <c r="P66" t="n">
        <v>1</v>
      </c>
      <c r="R66" t="n">
        <v>1</v>
      </c>
      <c r="U66" t="n">
        <v>1</v>
      </c>
      <c r="W66" t="n">
        <v>1</v>
      </c>
      <c r="Y66" t="n">
        <v>1</v>
      </c>
      <c r="Z66" t="n">
        <v>1</v>
      </c>
      <c r="AB66" t="n">
        <v>1</v>
      </c>
      <c r="AC66" t="n">
        <v>1</v>
      </c>
      <c r="AD66" t="n">
        <v>1</v>
      </c>
      <c r="AE66" t="n">
        <v>1</v>
      </c>
      <c r="AF66" t="n">
        <v>5</v>
      </c>
      <c r="AG66" t="inlineStr">
        <is>
          <t>retomado</t>
        </is>
      </c>
      <c r="AH66" t="inlineStr">
        <is>
          <t>retomado</t>
        </is>
      </c>
    </row>
    <row r="67">
      <c r="A67" t="inlineStr">
        <is>
          <t>La energía y sus usos</t>
        </is>
      </c>
      <c r="B67" t="inlineStr">
        <is>
          <t>retomado</t>
        </is>
      </c>
      <c r="C67" t="n">
        <v>2</v>
      </c>
      <c r="D67" t="n">
        <v>9</v>
      </c>
      <c r="F67" t="n">
        <v>8</v>
      </c>
      <c r="G67" t="n">
        <v>2</v>
      </c>
      <c r="I67" t="n">
        <v>5</v>
      </c>
      <c r="J67" t="n">
        <v>7</v>
      </c>
      <c r="L67" t="n">
        <v>9.5</v>
      </c>
      <c r="M67" t="n">
        <v>7</v>
      </c>
      <c r="O67" t="n">
        <v>1</v>
      </c>
      <c r="P67" t="n">
        <v>1</v>
      </c>
      <c r="R67" t="n">
        <v>1</v>
      </c>
      <c r="U67" t="n">
        <v>1</v>
      </c>
      <c r="V67" t="n">
        <v>1</v>
      </c>
      <c r="Y67" t="n">
        <v>1</v>
      </c>
      <c r="Z67" t="n">
        <v>1</v>
      </c>
      <c r="AB67" t="n">
        <v>1</v>
      </c>
      <c r="AC67" t="n">
        <v>1</v>
      </c>
      <c r="AF67" t="n">
        <v>2</v>
      </c>
      <c r="AG67" t="inlineStr">
        <is>
          <t>retomado</t>
        </is>
      </c>
      <c r="AH67" t="inlineStr">
        <is>
          <t>no_retomado</t>
        </is>
      </c>
    </row>
    <row r="68">
      <c r="A68" t="inlineStr">
        <is>
          <t>Condiciones de equilibrio estático</t>
        </is>
      </c>
      <c r="B68" t="inlineStr">
        <is>
          <t>retomado</t>
        </is>
      </c>
      <c r="C68" t="n">
        <v>5</v>
      </c>
      <c r="D68" t="n">
        <v>10</v>
      </c>
      <c r="E68" t="n">
        <v>6</v>
      </c>
      <c r="G68" t="n">
        <v>6</v>
      </c>
      <c r="I68" t="n">
        <v>6</v>
      </c>
      <c r="J68" t="n">
        <v>7</v>
      </c>
      <c r="L68" t="n">
        <v>9.5</v>
      </c>
      <c r="M68" t="n">
        <v>7</v>
      </c>
      <c r="P68" t="n">
        <v>1</v>
      </c>
      <c r="R68" t="n">
        <v>1</v>
      </c>
      <c r="U68" t="n">
        <v>1</v>
      </c>
      <c r="Y68" t="n">
        <v>1</v>
      </c>
      <c r="Z68" t="n">
        <v>1</v>
      </c>
      <c r="AA68" t="n">
        <v>1</v>
      </c>
      <c r="AB68" t="n">
        <v>1</v>
      </c>
      <c r="AD68" t="n">
        <v>1</v>
      </c>
      <c r="AE68" t="n">
        <v>1</v>
      </c>
      <c r="AF68" t="n">
        <v>8</v>
      </c>
      <c r="AG68" t="inlineStr">
        <is>
          <t>retomado</t>
        </is>
      </c>
      <c r="AH68" t="inlineStr">
        <is>
          <t>retomado</t>
        </is>
      </c>
    </row>
    <row r="69">
      <c r="A69" t="inlineStr">
        <is>
          <t>Estados de la materia</t>
        </is>
      </c>
      <c r="B69" t="inlineStr">
        <is>
          <t>retomado</t>
        </is>
      </c>
      <c r="C69" t="n">
        <v>2</v>
      </c>
      <c r="D69" t="n">
        <v>9</v>
      </c>
      <c r="E69" t="n">
        <v>2</v>
      </c>
      <c r="F69" t="n">
        <v>8</v>
      </c>
      <c r="G69" t="n">
        <v>2</v>
      </c>
      <c r="I69" t="n">
        <v>3</v>
      </c>
      <c r="J69" t="n">
        <v>7</v>
      </c>
      <c r="L69" t="n">
        <v>9.5</v>
      </c>
      <c r="M69" t="n">
        <v>7</v>
      </c>
      <c r="O69" t="n">
        <v>1</v>
      </c>
      <c r="P69" t="n">
        <v>1</v>
      </c>
      <c r="R69" t="n">
        <v>1</v>
      </c>
      <c r="U69" t="n">
        <v>1</v>
      </c>
      <c r="Y69" t="n">
        <v>1</v>
      </c>
      <c r="Z69" t="n">
        <v>1</v>
      </c>
      <c r="AA69" t="n">
        <v>1</v>
      </c>
      <c r="AB69" t="n">
        <v>1</v>
      </c>
      <c r="AC69" t="n">
        <v>1</v>
      </c>
      <c r="AD69" t="n">
        <v>1</v>
      </c>
      <c r="AF69" t="n">
        <v>2</v>
      </c>
      <c r="AG69" t="inlineStr">
        <is>
          <t>retomado</t>
        </is>
      </c>
      <c r="AH69" t="inlineStr">
        <is>
          <t>retomado</t>
        </is>
      </c>
    </row>
    <row r="70">
      <c r="A70" t="inlineStr">
        <is>
          <t>Flotación y hundimiento</t>
        </is>
      </c>
      <c r="B70" t="inlineStr">
        <is>
          <t>retomado</t>
        </is>
      </c>
      <c r="C70" t="n">
        <v>2</v>
      </c>
      <c r="D70" t="n">
        <v>9</v>
      </c>
      <c r="F70" t="n">
        <v>8</v>
      </c>
      <c r="G70" t="n">
        <v>6</v>
      </c>
      <c r="M70" t="n">
        <v>7</v>
      </c>
      <c r="O70" t="n">
        <v>1</v>
      </c>
      <c r="Y70" t="n">
        <v>1</v>
      </c>
      <c r="AF70" t="n">
        <v>2</v>
      </c>
      <c r="AG70" t="inlineStr">
        <is>
          <t>retomado</t>
        </is>
      </c>
      <c r="AH70" t="inlineStr">
        <is>
          <t>retomado</t>
        </is>
      </c>
    </row>
    <row r="71">
      <c r="A71" t="inlineStr">
        <is>
          <t>Formas de energía</t>
        </is>
      </c>
      <c r="B71" t="inlineStr">
        <is>
          <t>retomado</t>
        </is>
      </c>
      <c r="C71" t="n">
        <v>2</v>
      </c>
      <c r="D71" t="n">
        <v>10</v>
      </c>
      <c r="E71" t="n">
        <v>7</v>
      </c>
      <c r="F71" t="n">
        <v>8</v>
      </c>
      <c r="G71" t="n">
        <v>6</v>
      </c>
      <c r="I71" t="n">
        <v>5</v>
      </c>
      <c r="J71" t="n">
        <v>7</v>
      </c>
      <c r="L71" t="n">
        <v>9.5</v>
      </c>
      <c r="M71" t="n">
        <v>7</v>
      </c>
      <c r="O71" t="n">
        <v>1</v>
      </c>
      <c r="P71" t="n">
        <v>1</v>
      </c>
      <c r="U71" t="n">
        <v>1</v>
      </c>
      <c r="V71" t="n">
        <v>1</v>
      </c>
      <c r="W71" t="n">
        <v>1</v>
      </c>
      <c r="Y71" t="n">
        <v>1</v>
      </c>
      <c r="Z71" t="n">
        <v>1</v>
      </c>
      <c r="AC71" t="n">
        <v>1</v>
      </c>
      <c r="AD71" t="n">
        <v>1</v>
      </c>
      <c r="AE71" t="n">
        <v>1</v>
      </c>
      <c r="AF71" t="n">
        <v>2</v>
      </c>
      <c r="AG71" t="inlineStr">
        <is>
          <t>retomado</t>
        </is>
      </c>
      <c r="AH71" t="inlineStr">
        <is>
          <t>retomado</t>
        </is>
      </c>
    </row>
    <row r="72">
      <c r="A72" t="inlineStr">
        <is>
          <t>Fuentes de energía renovables y no renovables</t>
        </is>
      </c>
      <c r="B72" t="inlineStr">
        <is>
          <t>retomado</t>
        </is>
      </c>
      <c r="C72" t="n">
        <v>2</v>
      </c>
      <c r="D72" t="n">
        <v>9</v>
      </c>
      <c r="F72" t="n">
        <v>8</v>
      </c>
      <c r="G72" t="n">
        <v>6</v>
      </c>
      <c r="I72" t="n">
        <v>8</v>
      </c>
      <c r="J72" t="n">
        <v>9</v>
      </c>
      <c r="K72" t="n">
        <v>8</v>
      </c>
      <c r="M72" t="n">
        <v>7</v>
      </c>
      <c r="O72" t="n">
        <v>1</v>
      </c>
      <c r="P72" t="n">
        <v>1</v>
      </c>
      <c r="R72" t="n">
        <v>1</v>
      </c>
      <c r="S72" t="n">
        <v>1</v>
      </c>
      <c r="V72" t="n">
        <v>1</v>
      </c>
      <c r="W72" t="n">
        <v>1</v>
      </c>
      <c r="X72" t="n">
        <v>1</v>
      </c>
      <c r="Y72" t="n">
        <v>1</v>
      </c>
      <c r="Z72" t="n">
        <v>1</v>
      </c>
      <c r="AC72" t="n">
        <v>1</v>
      </c>
      <c r="AD72" t="n">
        <v>1</v>
      </c>
      <c r="AE72" t="n">
        <v>1</v>
      </c>
      <c r="AF72" t="n">
        <v>2</v>
      </c>
      <c r="AG72" t="inlineStr">
        <is>
          <t>retomado</t>
        </is>
      </c>
      <c r="AH72" t="inlineStr">
        <is>
          <t>retomado</t>
        </is>
      </c>
    </row>
    <row r="73">
      <c r="A73" t="inlineStr">
        <is>
          <t>Fuerza elástica y ley de Hooke</t>
        </is>
      </c>
      <c r="B73" t="inlineStr">
        <is>
          <t>retomado</t>
        </is>
      </c>
      <c r="C73" t="n">
        <v>5</v>
      </c>
      <c r="D73" t="n">
        <v>10</v>
      </c>
      <c r="F73" t="n">
        <v>8</v>
      </c>
      <c r="G73" t="n">
        <v>6</v>
      </c>
      <c r="I73" t="n">
        <v>2</v>
      </c>
      <c r="J73" t="n">
        <v>7</v>
      </c>
      <c r="L73" t="n">
        <v>11</v>
      </c>
      <c r="M73" t="n">
        <v>9.5</v>
      </c>
      <c r="O73" t="n">
        <v>1</v>
      </c>
      <c r="P73" t="n">
        <v>1</v>
      </c>
      <c r="R73" t="n">
        <v>1</v>
      </c>
      <c r="U73" t="n">
        <v>1</v>
      </c>
      <c r="V73" t="n">
        <v>1</v>
      </c>
      <c r="Y73" t="n">
        <v>1</v>
      </c>
      <c r="AB73" t="n">
        <v>1</v>
      </c>
      <c r="AC73" t="n">
        <v>1</v>
      </c>
      <c r="AD73" t="n">
        <v>1</v>
      </c>
      <c r="AE73" t="n">
        <v>1</v>
      </c>
      <c r="AF73" t="n">
        <v>5</v>
      </c>
      <c r="AG73" t="inlineStr">
        <is>
          <t>retomado</t>
        </is>
      </c>
      <c r="AH73" t="inlineStr">
        <is>
          <t>retomado</t>
        </is>
      </c>
    </row>
    <row r="74">
      <c r="A74" t="inlineStr">
        <is>
          <t>Fuerza como empuje o tirón</t>
        </is>
      </c>
      <c r="B74" t="inlineStr">
        <is>
          <t>retomado</t>
        </is>
      </c>
      <c r="C74" t="n">
        <v>2</v>
      </c>
      <c r="D74" t="n">
        <v>10</v>
      </c>
      <c r="E74" t="n">
        <v>2</v>
      </c>
      <c r="F74" t="n">
        <v>8</v>
      </c>
      <c r="G74" t="n">
        <v>6</v>
      </c>
      <c r="I74" t="n">
        <v>2</v>
      </c>
      <c r="J74" t="n">
        <v>9</v>
      </c>
      <c r="L74" t="n">
        <v>9.5</v>
      </c>
      <c r="M74" t="n">
        <v>7</v>
      </c>
      <c r="O74" t="n">
        <v>1</v>
      </c>
      <c r="R74" t="n">
        <v>1</v>
      </c>
      <c r="S74" t="n">
        <v>1</v>
      </c>
      <c r="U74" t="n">
        <v>1</v>
      </c>
      <c r="Z74" t="n">
        <v>1</v>
      </c>
      <c r="AC74" t="n">
        <v>1</v>
      </c>
      <c r="AF74" t="n">
        <v>2</v>
      </c>
      <c r="AG74" t="inlineStr">
        <is>
          <t>retomado</t>
        </is>
      </c>
      <c r="AH74" t="inlineStr">
        <is>
          <t>retomado</t>
        </is>
      </c>
    </row>
    <row r="75">
      <c r="A75" t="inlineStr">
        <is>
          <t>Fuerza neta y diagrama de cuerpo libre</t>
        </is>
      </c>
      <c r="B75" t="inlineStr">
        <is>
          <t>retomado</t>
        </is>
      </c>
      <c r="C75" t="n">
        <v>5</v>
      </c>
      <c r="D75" t="n">
        <v>9</v>
      </c>
      <c r="E75" t="n">
        <v>6</v>
      </c>
      <c r="F75" t="n">
        <v>10.5</v>
      </c>
      <c r="G75" t="n">
        <v>6</v>
      </c>
      <c r="I75" t="n">
        <v>6</v>
      </c>
      <c r="J75" t="n">
        <v>7</v>
      </c>
      <c r="L75" t="n">
        <v>9.5</v>
      </c>
      <c r="M75" t="n">
        <v>7</v>
      </c>
      <c r="N75" t="n">
        <v>1</v>
      </c>
      <c r="O75" t="n">
        <v>1</v>
      </c>
      <c r="P75" t="n">
        <v>1</v>
      </c>
      <c r="R75" t="n">
        <v>1</v>
      </c>
      <c r="U75" t="n">
        <v>1</v>
      </c>
      <c r="W75" t="n">
        <v>1</v>
      </c>
      <c r="Y75" t="n">
        <v>1</v>
      </c>
      <c r="Z75" t="n">
        <v>1</v>
      </c>
      <c r="AA75" t="n">
        <v>1</v>
      </c>
      <c r="AB75" t="n">
        <v>1</v>
      </c>
      <c r="AC75" t="n">
        <v>1</v>
      </c>
      <c r="AD75" t="n">
        <v>1</v>
      </c>
      <c r="AE75" t="n">
        <v>1</v>
      </c>
      <c r="AF75" t="n">
        <v>8</v>
      </c>
      <c r="AG75" t="inlineStr">
        <is>
          <t>retomado</t>
        </is>
      </c>
      <c r="AH75" t="inlineStr">
        <is>
          <t>retomado</t>
        </is>
      </c>
    </row>
    <row r="76">
      <c r="A76" t="inlineStr">
        <is>
          <t>Fuerzas de contacto y a distancia</t>
        </is>
      </c>
      <c r="B76" t="inlineStr">
        <is>
          <t>retomado</t>
        </is>
      </c>
      <c r="C76" t="n">
        <v>3</v>
      </c>
      <c r="D76" t="n">
        <v>10</v>
      </c>
      <c r="E76" t="n">
        <v>3</v>
      </c>
      <c r="G76" t="n">
        <v>2</v>
      </c>
      <c r="I76" t="n">
        <v>9.5</v>
      </c>
      <c r="L76" t="n">
        <v>9.5</v>
      </c>
      <c r="P76" t="n">
        <v>1</v>
      </c>
      <c r="R76" t="n">
        <v>1</v>
      </c>
      <c r="U76" t="n">
        <v>1</v>
      </c>
      <c r="W76" t="n">
        <v>1</v>
      </c>
      <c r="Y76" t="n">
        <v>1</v>
      </c>
      <c r="Z76" t="n">
        <v>1</v>
      </c>
      <c r="AC76" t="n">
        <v>1</v>
      </c>
      <c r="AD76" t="n">
        <v>1</v>
      </c>
      <c r="AE76" t="n">
        <v>1</v>
      </c>
      <c r="AF76" t="n">
        <v>3</v>
      </c>
      <c r="AG76" t="inlineStr">
        <is>
          <t>retomado</t>
        </is>
      </c>
      <c r="AH76" t="inlineStr">
        <is>
          <t>retomado</t>
        </is>
      </c>
    </row>
    <row r="77">
      <c r="A77" t="inlineStr">
        <is>
          <t>Fuerzas mecánicas comunes</t>
        </is>
      </c>
      <c r="B77" t="inlineStr">
        <is>
          <t>retomado</t>
        </is>
      </c>
      <c r="C77" t="n">
        <v>5</v>
      </c>
      <c r="D77" t="n">
        <v>10</v>
      </c>
      <c r="F77" t="n">
        <v>8</v>
      </c>
      <c r="G77" t="n">
        <v>6</v>
      </c>
      <c r="I77" t="n">
        <v>9.5</v>
      </c>
      <c r="J77" t="n">
        <v>7</v>
      </c>
      <c r="L77" t="n">
        <v>9.5</v>
      </c>
      <c r="M77" t="n">
        <v>7</v>
      </c>
      <c r="O77" t="n">
        <v>1</v>
      </c>
      <c r="R77" t="n">
        <v>1</v>
      </c>
      <c r="U77" t="n">
        <v>1</v>
      </c>
      <c r="V77" t="n">
        <v>1</v>
      </c>
      <c r="Z77" t="n">
        <v>1</v>
      </c>
      <c r="AC77" t="n">
        <v>1</v>
      </c>
      <c r="AD77" t="n">
        <v>1</v>
      </c>
      <c r="AF77" t="n">
        <v>8</v>
      </c>
      <c r="AG77" t="inlineStr">
        <is>
          <t>retomado</t>
        </is>
      </c>
      <c r="AH77" t="inlineStr">
        <is>
          <t>retomado</t>
        </is>
      </c>
    </row>
    <row r="78">
      <c r="A78" t="inlineStr">
        <is>
          <t>Gráficas del movimiento</t>
        </is>
      </c>
      <c r="B78" t="inlineStr">
        <is>
          <t>retomado</t>
        </is>
      </c>
      <c r="C78" t="n">
        <v>5</v>
      </c>
      <c r="D78" t="n">
        <v>10</v>
      </c>
      <c r="F78" t="n">
        <v>8</v>
      </c>
      <c r="G78" t="n">
        <v>6</v>
      </c>
      <c r="I78" t="n">
        <v>9.5</v>
      </c>
      <c r="J78" t="n">
        <v>7</v>
      </c>
      <c r="L78" t="n">
        <v>9.5</v>
      </c>
      <c r="O78" t="n">
        <v>1</v>
      </c>
      <c r="P78" t="n">
        <v>1</v>
      </c>
      <c r="R78" t="n">
        <v>1</v>
      </c>
      <c r="U78" t="n">
        <v>1</v>
      </c>
      <c r="W78" t="n">
        <v>1</v>
      </c>
      <c r="Y78" t="n">
        <v>1</v>
      </c>
      <c r="Z78" t="n">
        <v>1</v>
      </c>
      <c r="AB78" t="n">
        <v>1</v>
      </c>
      <c r="AC78" t="n">
        <v>1</v>
      </c>
      <c r="AD78" t="n">
        <v>1</v>
      </c>
      <c r="AE78" t="n">
        <v>1</v>
      </c>
      <c r="AF78" t="n">
        <v>8</v>
      </c>
      <c r="AG78" t="inlineStr">
        <is>
          <t>retomado</t>
        </is>
      </c>
      <c r="AH78" t="inlineStr">
        <is>
          <t>retomado</t>
        </is>
      </c>
    </row>
    <row r="79">
      <c r="A79" t="inlineStr">
        <is>
          <t>Gravedad: atracción hacia la Tierra</t>
        </is>
      </c>
      <c r="B79" t="inlineStr">
        <is>
          <t>retomado</t>
        </is>
      </c>
      <c r="C79" t="n">
        <v>3</v>
      </c>
      <c r="D79" t="n">
        <v>10</v>
      </c>
      <c r="E79" t="n">
        <v>3</v>
      </c>
      <c r="F79" t="n">
        <v>8</v>
      </c>
      <c r="G79" t="n">
        <v>3</v>
      </c>
      <c r="I79" t="n">
        <v>9.5</v>
      </c>
      <c r="J79" t="n">
        <v>7</v>
      </c>
      <c r="L79" t="n">
        <v>9.5</v>
      </c>
      <c r="M79" t="n">
        <v>7</v>
      </c>
      <c r="O79" t="n">
        <v>1</v>
      </c>
      <c r="P79" t="n">
        <v>1</v>
      </c>
      <c r="R79" t="n">
        <v>1</v>
      </c>
      <c r="S79" t="n">
        <v>1</v>
      </c>
      <c r="U79" t="n">
        <v>1</v>
      </c>
      <c r="W79" t="n">
        <v>1</v>
      </c>
      <c r="Y79" t="n">
        <v>1</v>
      </c>
      <c r="Z79" t="n">
        <v>1</v>
      </c>
      <c r="AC79" t="n">
        <v>1</v>
      </c>
      <c r="AD79" t="n">
        <v>1</v>
      </c>
      <c r="AE79" t="n">
        <v>1</v>
      </c>
      <c r="AF79" t="n">
        <v>10</v>
      </c>
      <c r="AG79" t="inlineStr">
        <is>
          <t>retomado</t>
        </is>
      </c>
      <c r="AH79" t="inlineStr">
        <is>
          <t>alineado</t>
        </is>
      </c>
    </row>
    <row r="80">
      <c r="A80" t="inlineStr">
        <is>
          <t>Ley de gravitación universal</t>
        </is>
      </c>
      <c r="B80" t="inlineStr">
        <is>
          <t>retomado</t>
        </is>
      </c>
      <c r="C80" t="n">
        <v>8</v>
      </c>
      <c r="D80" t="n">
        <v>10</v>
      </c>
      <c r="F80" t="n">
        <v>10.5</v>
      </c>
      <c r="G80" t="n">
        <v>6</v>
      </c>
      <c r="L80" t="n">
        <v>9.5</v>
      </c>
      <c r="M80" t="n">
        <v>7</v>
      </c>
      <c r="O80" t="n">
        <v>1</v>
      </c>
      <c r="U80" t="n">
        <v>1</v>
      </c>
      <c r="V80" t="n">
        <v>1</v>
      </c>
      <c r="W80" t="n">
        <v>1</v>
      </c>
      <c r="Y80" t="n">
        <v>1</v>
      </c>
      <c r="Z80" t="n">
        <v>1</v>
      </c>
      <c r="AA80" t="n">
        <v>1</v>
      </c>
      <c r="AB80" t="n">
        <v>1</v>
      </c>
      <c r="AC80" t="n">
        <v>1</v>
      </c>
      <c r="AD80" t="n">
        <v>1</v>
      </c>
      <c r="AE80" t="n">
        <v>1</v>
      </c>
      <c r="AF80" t="n">
        <v>8</v>
      </c>
      <c r="AG80" t="inlineStr">
        <is>
          <t>retomado</t>
        </is>
      </c>
      <c r="AH80" t="inlineStr">
        <is>
          <t>retomado</t>
        </is>
      </c>
    </row>
    <row r="81">
      <c r="A81" t="inlineStr">
        <is>
          <t>Imanes y polos magnéticos</t>
        </is>
      </c>
      <c r="B81" t="inlineStr">
        <is>
          <t>retomado</t>
        </is>
      </c>
      <c r="C81" t="n">
        <v>3</v>
      </c>
      <c r="D81" t="n">
        <v>11</v>
      </c>
      <c r="E81" t="n">
        <v>3</v>
      </c>
      <c r="F81" t="n">
        <v>8</v>
      </c>
      <c r="G81" t="n">
        <v>2</v>
      </c>
      <c r="I81" t="n">
        <v>2</v>
      </c>
      <c r="L81" t="n">
        <v>9.5</v>
      </c>
      <c r="O81" t="n">
        <v>1</v>
      </c>
      <c r="P81" t="n">
        <v>1</v>
      </c>
      <c r="U81" t="n">
        <v>1</v>
      </c>
      <c r="Y81" t="n">
        <v>1</v>
      </c>
      <c r="Z81" t="n">
        <v>1</v>
      </c>
      <c r="AC81" t="n">
        <v>1</v>
      </c>
      <c r="AD81" t="n">
        <v>1</v>
      </c>
      <c r="AF81" t="n">
        <v>3</v>
      </c>
      <c r="AG81" t="inlineStr">
        <is>
          <t>retomado</t>
        </is>
      </c>
      <c r="AH81" t="inlineStr">
        <is>
          <t>retomado</t>
        </is>
      </c>
    </row>
    <row r="82">
      <c r="A82" t="inlineStr">
        <is>
          <t>Leyes de Kepler</t>
        </is>
      </c>
      <c r="B82" t="inlineStr">
        <is>
          <t>retomado</t>
        </is>
      </c>
      <c r="C82" t="n">
        <v>4</v>
      </c>
      <c r="D82" t="n">
        <v>9</v>
      </c>
      <c r="M82" t="n">
        <v>9.5</v>
      </c>
      <c r="V82" t="n">
        <v>1</v>
      </c>
      <c r="W82" t="n">
        <v>1</v>
      </c>
      <c r="Z82" t="n">
        <v>1</v>
      </c>
      <c r="AA82" t="n">
        <v>1</v>
      </c>
      <c r="AB82" t="n">
        <v>1</v>
      </c>
      <c r="AE82" t="n">
        <v>1</v>
      </c>
      <c r="AF82" t="n">
        <v>11</v>
      </c>
      <c r="AG82" t="inlineStr">
        <is>
          <t>retomado</t>
        </is>
      </c>
      <c r="AH82" t="inlineStr">
        <is>
          <t>solo_especializacion</t>
        </is>
      </c>
    </row>
    <row r="83">
      <c r="A83" t="inlineStr">
        <is>
          <t>Magnitudes escalares y vectoriales</t>
        </is>
      </c>
      <c r="B83" t="inlineStr">
        <is>
          <t>retomado</t>
        </is>
      </c>
      <c r="C83" t="n">
        <v>5</v>
      </c>
      <c r="D83" t="n">
        <v>10</v>
      </c>
      <c r="F83" t="n">
        <v>10.5</v>
      </c>
      <c r="G83" t="n">
        <v>8.5</v>
      </c>
      <c r="I83" t="n">
        <v>6</v>
      </c>
      <c r="L83" t="n">
        <v>9.5</v>
      </c>
      <c r="O83" t="n">
        <v>1</v>
      </c>
      <c r="P83" t="n">
        <v>1</v>
      </c>
      <c r="U83" t="n">
        <v>1</v>
      </c>
      <c r="Y83" t="n">
        <v>1</v>
      </c>
      <c r="Z83" t="n">
        <v>1</v>
      </c>
      <c r="AC83" t="n">
        <v>1</v>
      </c>
      <c r="AD83" t="n">
        <v>1</v>
      </c>
      <c r="AE83" t="n">
        <v>1</v>
      </c>
      <c r="AF83" t="n">
        <v>5</v>
      </c>
      <c r="AG83" t="inlineStr">
        <is>
          <t>retomado</t>
        </is>
      </c>
      <c r="AH83" t="inlineStr">
        <is>
          <t>retomado</t>
        </is>
      </c>
    </row>
    <row r="84">
      <c r="A84" t="inlineStr">
        <is>
          <t>Longitud de onda, frecuencia y rapidez</t>
        </is>
      </c>
      <c r="B84" t="inlineStr">
        <is>
          <t>retomado</t>
        </is>
      </c>
      <c r="C84" t="n">
        <v>8</v>
      </c>
      <c r="D84" t="n">
        <v>9</v>
      </c>
      <c r="F84" t="n">
        <v>8</v>
      </c>
      <c r="G84" t="n">
        <v>6</v>
      </c>
      <c r="I84" t="n">
        <v>9.5</v>
      </c>
      <c r="J84" t="n">
        <v>7</v>
      </c>
      <c r="L84" t="n">
        <v>9.5</v>
      </c>
      <c r="M84" t="n">
        <v>7</v>
      </c>
      <c r="O84" t="n">
        <v>1</v>
      </c>
      <c r="P84" t="n">
        <v>1</v>
      </c>
      <c r="R84" t="n">
        <v>1</v>
      </c>
      <c r="U84" t="n">
        <v>1</v>
      </c>
      <c r="V84" t="n">
        <v>1</v>
      </c>
      <c r="W84" t="n">
        <v>1</v>
      </c>
      <c r="Y84" t="n">
        <v>1</v>
      </c>
      <c r="Z84" t="n">
        <v>1</v>
      </c>
      <c r="AA84" t="n">
        <v>1</v>
      </c>
      <c r="AB84" t="n">
        <v>1</v>
      </c>
      <c r="AC84" t="n">
        <v>1</v>
      </c>
      <c r="AD84" t="n">
        <v>1</v>
      </c>
      <c r="AE84" t="n">
        <v>1</v>
      </c>
      <c r="AF84" t="n">
        <v>8</v>
      </c>
      <c r="AG84" t="inlineStr">
        <is>
          <t>retomado</t>
        </is>
      </c>
      <c r="AH84" t="inlineStr">
        <is>
          <t>retomado</t>
        </is>
      </c>
    </row>
    <row r="85">
      <c r="A85" t="inlineStr">
        <is>
          <t>Máquinas simples</t>
        </is>
      </c>
      <c r="B85" t="inlineStr">
        <is>
          <t>retomado</t>
        </is>
      </c>
      <c r="C85" t="n">
        <v>2</v>
      </c>
      <c r="D85" t="n">
        <v>10</v>
      </c>
      <c r="F85" t="n">
        <v>8</v>
      </c>
      <c r="G85" t="n">
        <v>3</v>
      </c>
      <c r="I85" t="n">
        <v>5</v>
      </c>
      <c r="J85" t="n">
        <v>7</v>
      </c>
      <c r="L85" t="n">
        <v>9.5</v>
      </c>
      <c r="M85" t="n">
        <v>7</v>
      </c>
      <c r="O85" t="n">
        <v>1</v>
      </c>
      <c r="U85" t="n">
        <v>1</v>
      </c>
      <c r="Y85" t="n">
        <v>1</v>
      </c>
      <c r="AF85" t="n">
        <v>2</v>
      </c>
      <c r="AG85" t="inlineStr">
        <is>
          <t>retomado</t>
        </is>
      </c>
      <c r="AH85" t="inlineStr">
        <is>
          <t>retomado</t>
        </is>
      </c>
    </row>
    <row r="86">
      <c r="A86" t="inlineStr">
        <is>
          <t>Masa y peso</t>
        </is>
      </c>
      <c r="B86" t="inlineStr">
        <is>
          <t>retomado</t>
        </is>
      </c>
      <c r="C86" t="n">
        <v>2</v>
      </c>
      <c r="D86" t="n">
        <v>9</v>
      </c>
      <c r="F86" t="n">
        <v>8</v>
      </c>
      <c r="G86" t="n">
        <v>6</v>
      </c>
      <c r="I86" t="n">
        <v>2</v>
      </c>
      <c r="L86" t="n">
        <v>9.5</v>
      </c>
      <c r="M86" t="n">
        <v>7</v>
      </c>
      <c r="O86" t="n">
        <v>1</v>
      </c>
      <c r="P86" t="n">
        <v>1</v>
      </c>
      <c r="R86" t="n">
        <v>1</v>
      </c>
      <c r="U86" t="n">
        <v>1</v>
      </c>
      <c r="W86" t="n">
        <v>1</v>
      </c>
      <c r="Y86" t="n">
        <v>1</v>
      </c>
      <c r="Z86" t="n">
        <v>1</v>
      </c>
      <c r="AA86" t="n">
        <v>1</v>
      </c>
      <c r="AC86" t="n">
        <v>1</v>
      </c>
      <c r="AD86" t="n">
        <v>1</v>
      </c>
      <c r="AE86" t="n">
        <v>1</v>
      </c>
      <c r="AF86" t="n">
        <v>2</v>
      </c>
      <c r="AG86" t="inlineStr">
        <is>
          <t>retomado</t>
        </is>
      </c>
      <c r="AH86" t="inlineStr">
        <is>
          <t>retomado</t>
        </is>
      </c>
    </row>
    <row r="87">
      <c r="A87" t="inlineStr">
        <is>
          <t>Materiales magnéticos</t>
        </is>
      </c>
      <c r="B87" t="inlineStr">
        <is>
          <t>retomado</t>
        </is>
      </c>
      <c r="C87" t="n">
        <v>3</v>
      </c>
      <c r="D87" t="n">
        <v>10</v>
      </c>
      <c r="G87" t="n">
        <v>2</v>
      </c>
      <c r="I87" t="n">
        <v>2</v>
      </c>
      <c r="L87" t="n">
        <v>9.5</v>
      </c>
      <c r="P87" t="n">
        <v>1</v>
      </c>
      <c r="U87" t="n">
        <v>1</v>
      </c>
      <c r="X87" t="n">
        <v>1</v>
      </c>
      <c r="Y87" t="n">
        <v>1</v>
      </c>
      <c r="AB87" t="n">
        <v>1</v>
      </c>
      <c r="AD87" t="n">
        <v>1</v>
      </c>
      <c r="AF87" t="n">
        <v>3</v>
      </c>
      <c r="AG87" t="inlineStr">
        <is>
          <t>retomado</t>
        </is>
      </c>
      <c r="AH87" t="inlineStr">
        <is>
          <t>retomado</t>
        </is>
      </c>
    </row>
    <row r="88">
      <c r="A88" t="inlineStr">
        <is>
          <t>Materiales opacos, transparentes y translúcidos</t>
        </is>
      </c>
      <c r="B88" t="inlineStr">
        <is>
          <t>retomado</t>
        </is>
      </c>
      <c r="C88" t="n">
        <v>2</v>
      </c>
      <c r="D88" t="n">
        <v>10</v>
      </c>
      <c r="G88" t="n">
        <v>2</v>
      </c>
      <c r="P88" t="n">
        <v>1</v>
      </c>
      <c r="Y88" t="n">
        <v>1</v>
      </c>
      <c r="AF88" t="n">
        <v>2</v>
      </c>
      <c r="AG88" t="inlineStr">
        <is>
          <t>retomado</t>
        </is>
      </c>
      <c r="AH88" t="inlineStr">
        <is>
          <t>retomado</t>
        </is>
      </c>
    </row>
    <row r="89">
      <c r="A89" t="inlineStr">
        <is>
          <t>Conducción, convección y radiación</t>
        </is>
      </c>
      <c r="B89" t="inlineStr">
        <is>
          <t>retomado</t>
        </is>
      </c>
      <c r="C89" t="n">
        <v>2</v>
      </c>
      <c r="D89" t="n">
        <v>9</v>
      </c>
      <c r="E89" t="n">
        <v>8</v>
      </c>
      <c r="F89" t="n">
        <v>8</v>
      </c>
      <c r="G89" t="n">
        <v>6</v>
      </c>
      <c r="I89" t="n">
        <v>3</v>
      </c>
      <c r="J89" t="n">
        <v>7</v>
      </c>
      <c r="L89" t="n">
        <v>9.5</v>
      </c>
      <c r="M89" t="n">
        <v>7</v>
      </c>
      <c r="O89" t="n">
        <v>1</v>
      </c>
      <c r="P89" t="n">
        <v>1</v>
      </c>
      <c r="R89" t="n">
        <v>1</v>
      </c>
      <c r="U89" t="n">
        <v>1</v>
      </c>
      <c r="W89" t="n">
        <v>1</v>
      </c>
      <c r="Y89" t="n">
        <v>1</v>
      </c>
      <c r="Z89" t="n">
        <v>1</v>
      </c>
      <c r="AB89" t="n">
        <v>1</v>
      </c>
      <c r="AC89" t="n">
        <v>1</v>
      </c>
      <c r="AD89" t="n">
        <v>1</v>
      </c>
      <c r="AF89" t="n">
        <v>2</v>
      </c>
      <c r="AG89" t="inlineStr">
        <is>
          <t>retomado</t>
        </is>
      </c>
      <c r="AH89" t="inlineStr">
        <is>
          <t>retomado</t>
        </is>
      </c>
    </row>
    <row r="90">
      <c r="A90" t="inlineStr">
        <is>
          <t>Medición de magnitudes con instrumentos</t>
        </is>
      </c>
      <c r="B90" t="inlineStr">
        <is>
          <t>retomado</t>
        </is>
      </c>
      <c r="C90" t="n">
        <v>2</v>
      </c>
      <c r="D90" t="n">
        <v>9</v>
      </c>
      <c r="F90" t="n">
        <v>8</v>
      </c>
      <c r="G90" t="n">
        <v>6</v>
      </c>
      <c r="I90" t="n">
        <v>9.5</v>
      </c>
      <c r="J90" t="n">
        <v>9</v>
      </c>
      <c r="K90" t="n">
        <v>9</v>
      </c>
      <c r="L90" t="n">
        <v>9.5</v>
      </c>
      <c r="M90" t="n">
        <v>7</v>
      </c>
      <c r="O90" t="n">
        <v>1</v>
      </c>
      <c r="P90" t="n">
        <v>1</v>
      </c>
      <c r="R90" t="n">
        <v>1</v>
      </c>
      <c r="S90" t="n">
        <v>1</v>
      </c>
      <c r="T90" t="n">
        <v>1</v>
      </c>
      <c r="U90" t="n">
        <v>1</v>
      </c>
      <c r="V90" t="n">
        <v>1</v>
      </c>
      <c r="W90" t="n">
        <v>1</v>
      </c>
      <c r="Y90" t="n">
        <v>1</v>
      </c>
      <c r="Z90" t="n">
        <v>1</v>
      </c>
      <c r="AC90" t="n">
        <v>1</v>
      </c>
      <c r="AD90" t="n">
        <v>1</v>
      </c>
      <c r="AE90" t="n">
        <v>1</v>
      </c>
      <c r="AF90" t="n">
        <v>2</v>
      </c>
      <c r="AG90" t="inlineStr">
        <is>
          <t>retomado</t>
        </is>
      </c>
      <c r="AH90" t="inlineStr">
        <is>
          <t>retomado</t>
        </is>
      </c>
    </row>
    <row r="91">
      <c r="A91" t="inlineStr">
        <is>
          <t>Modelo de partículas de la materia</t>
        </is>
      </c>
      <c r="B91" t="inlineStr">
        <is>
          <t>retomado</t>
        </is>
      </c>
      <c r="C91" t="n">
        <v>6</v>
      </c>
      <c r="D91" t="n">
        <v>10</v>
      </c>
      <c r="E91" t="n">
        <v>4</v>
      </c>
      <c r="F91" t="n">
        <v>8</v>
      </c>
      <c r="G91" t="n">
        <v>6</v>
      </c>
      <c r="I91" t="n">
        <v>9.5</v>
      </c>
      <c r="J91" t="n">
        <v>7</v>
      </c>
      <c r="K91" t="n">
        <v>8</v>
      </c>
      <c r="L91" t="n">
        <v>9.5</v>
      </c>
      <c r="M91" t="n">
        <v>7</v>
      </c>
      <c r="O91" t="n">
        <v>1</v>
      </c>
      <c r="P91" t="n">
        <v>1</v>
      </c>
      <c r="R91" t="n">
        <v>1</v>
      </c>
      <c r="U91" t="n">
        <v>1</v>
      </c>
      <c r="V91" t="n">
        <v>1</v>
      </c>
      <c r="W91" t="n">
        <v>1</v>
      </c>
      <c r="Y91" t="n">
        <v>1</v>
      </c>
      <c r="Z91" t="n">
        <v>1</v>
      </c>
      <c r="AA91" t="n">
        <v>1</v>
      </c>
      <c r="AB91" t="n">
        <v>1</v>
      </c>
      <c r="AC91" t="n">
        <v>1</v>
      </c>
      <c r="AD91" t="n">
        <v>1</v>
      </c>
      <c r="AE91" t="n">
        <v>1</v>
      </c>
      <c r="AF91" t="n">
        <v>6</v>
      </c>
      <c r="AG91" t="inlineStr">
        <is>
          <t>retomado</t>
        </is>
      </c>
      <c r="AH91" t="inlineStr">
        <is>
          <t>retomado</t>
        </is>
      </c>
    </row>
    <row r="92">
      <c r="A92" t="inlineStr">
        <is>
          <t>Momento lineal e impulso</t>
        </is>
      </c>
      <c r="B92" t="inlineStr">
        <is>
          <t>retomado</t>
        </is>
      </c>
      <c r="C92" t="n">
        <v>8</v>
      </c>
      <c r="D92" t="n">
        <v>10</v>
      </c>
      <c r="F92" t="n">
        <v>8</v>
      </c>
      <c r="G92" t="n">
        <v>8.5</v>
      </c>
      <c r="J92" t="n">
        <v>9</v>
      </c>
      <c r="L92" t="n">
        <v>11</v>
      </c>
      <c r="O92" t="n">
        <v>1</v>
      </c>
      <c r="P92" t="n">
        <v>1</v>
      </c>
      <c r="S92" t="n">
        <v>1</v>
      </c>
      <c r="U92" t="n">
        <v>1</v>
      </c>
      <c r="W92" t="n">
        <v>1</v>
      </c>
      <c r="Y92" t="n">
        <v>1</v>
      </c>
      <c r="Z92" t="n">
        <v>1</v>
      </c>
      <c r="AA92" t="n">
        <v>1</v>
      </c>
      <c r="AB92" t="n">
        <v>1</v>
      </c>
      <c r="AC92" t="n">
        <v>1</v>
      </c>
      <c r="AD92" t="n">
        <v>1</v>
      </c>
      <c r="AE92" t="n">
        <v>1</v>
      </c>
      <c r="AF92" t="n">
        <v>8</v>
      </c>
      <c r="AG92" t="inlineStr">
        <is>
          <t>retomado</t>
        </is>
      </c>
      <c r="AH92" t="inlineStr">
        <is>
          <t>retomado</t>
        </is>
      </c>
    </row>
    <row r="93">
      <c r="A93" t="inlineStr">
        <is>
          <t>Movimiento armónico simple</t>
        </is>
      </c>
      <c r="B93" t="inlineStr">
        <is>
          <t>retomado</t>
        </is>
      </c>
      <c r="C93" t="n">
        <v>8</v>
      </c>
      <c r="D93" t="n">
        <v>10</v>
      </c>
      <c r="F93" t="n">
        <v>8</v>
      </c>
      <c r="O93" t="n">
        <v>1</v>
      </c>
      <c r="W93" t="n">
        <v>1</v>
      </c>
      <c r="Y93" t="n">
        <v>1</v>
      </c>
      <c r="Z93" t="n">
        <v>1</v>
      </c>
      <c r="AA93" t="n">
        <v>1</v>
      </c>
      <c r="AB93" t="n">
        <v>1</v>
      </c>
      <c r="AC93" t="n">
        <v>1</v>
      </c>
      <c r="AD93" t="n">
        <v>1</v>
      </c>
      <c r="AE93" t="n">
        <v>1</v>
      </c>
      <c r="AF93" t="n">
        <v>8</v>
      </c>
      <c r="AG93" t="inlineStr">
        <is>
          <t>retomado</t>
        </is>
      </c>
      <c r="AH93" t="inlineStr">
        <is>
          <t>retomado</t>
        </is>
      </c>
    </row>
    <row r="94">
      <c r="A94" t="inlineStr">
        <is>
          <t>Movimiento circular y variables angulares</t>
        </is>
      </c>
      <c r="B94" t="inlineStr">
        <is>
          <t>retomado</t>
        </is>
      </c>
      <c r="C94" t="n">
        <v>5</v>
      </c>
      <c r="D94" t="n">
        <v>10</v>
      </c>
      <c r="F94" t="n">
        <v>10.5</v>
      </c>
      <c r="G94" t="n">
        <v>8.5</v>
      </c>
      <c r="L94" t="n">
        <v>11</v>
      </c>
      <c r="M94" t="n">
        <v>7</v>
      </c>
      <c r="O94" t="n">
        <v>1</v>
      </c>
      <c r="P94" t="n">
        <v>1</v>
      </c>
      <c r="U94" t="n">
        <v>1</v>
      </c>
      <c r="W94" t="n">
        <v>1</v>
      </c>
      <c r="Y94" t="n">
        <v>1</v>
      </c>
      <c r="Z94" t="n">
        <v>1</v>
      </c>
      <c r="AA94" t="n">
        <v>1</v>
      </c>
      <c r="AB94" t="n">
        <v>1</v>
      </c>
      <c r="AC94" t="n">
        <v>1</v>
      </c>
      <c r="AD94" t="n">
        <v>1</v>
      </c>
      <c r="AE94" t="n">
        <v>1</v>
      </c>
      <c r="AF94" t="n">
        <v>5</v>
      </c>
      <c r="AG94" t="inlineStr">
        <is>
          <t>retomado</t>
        </is>
      </c>
      <c r="AH94" t="inlineStr">
        <is>
          <t>retomado</t>
        </is>
      </c>
    </row>
    <row r="95">
      <c r="A95" t="inlineStr">
        <is>
          <t>Cinemática en dos dimensiones y proyectiles</t>
        </is>
      </c>
      <c r="B95" t="inlineStr">
        <is>
          <t>retomado</t>
        </is>
      </c>
      <c r="C95" t="n">
        <v>8</v>
      </c>
      <c r="D95" t="n">
        <v>10</v>
      </c>
      <c r="I95" t="n">
        <v>9.5</v>
      </c>
      <c r="J95" t="n">
        <v>9</v>
      </c>
      <c r="L95" t="n">
        <v>11</v>
      </c>
      <c r="M95" t="n">
        <v>9.5</v>
      </c>
      <c r="R95" t="n">
        <v>1</v>
      </c>
      <c r="S95" t="n">
        <v>1</v>
      </c>
      <c r="U95" t="n">
        <v>1</v>
      </c>
      <c r="V95" t="n">
        <v>1</v>
      </c>
      <c r="W95" t="n">
        <v>1</v>
      </c>
      <c r="Y95" t="n">
        <v>1</v>
      </c>
      <c r="Z95" t="n">
        <v>1</v>
      </c>
      <c r="AA95" t="n">
        <v>1</v>
      </c>
      <c r="AB95" t="n">
        <v>1</v>
      </c>
      <c r="AC95" t="n">
        <v>1</v>
      </c>
      <c r="AD95" t="n">
        <v>1</v>
      </c>
      <c r="AE95" t="n">
        <v>1</v>
      </c>
      <c r="AF95" t="n">
        <v>8</v>
      </c>
      <c r="AG95" t="inlineStr">
        <is>
          <t>retomado</t>
        </is>
      </c>
      <c r="AH95" t="inlineStr">
        <is>
          <t>retomado</t>
        </is>
      </c>
    </row>
    <row r="96">
      <c r="A96" t="inlineStr">
        <is>
          <t>Movimiento con aceleración constante</t>
        </is>
      </c>
      <c r="B96" t="inlineStr">
        <is>
          <t>retomado</t>
        </is>
      </c>
      <c r="C96" t="n">
        <v>8</v>
      </c>
      <c r="D96" t="n">
        <v>10</v>
      </c>
      <c r="F96" t="n">
        <v>10.5</v>
      </c>
      <c r="G96" t="n">
        <v>8.5</v>
      </c>
      <c r="I96" t="n">
        <v>8</v>
      </c>
      <c r="J96" t="n">
        <v>7</v>
      </c>
      <c r="L96" t="n">
        <v>9.5</v>
      </c>
      <c r="M96" t="n">
        <v>9.5</v>
      </c>
      <c r="O96" t="n">
        <v>1</v>
      </c>
      <c r="P96" t="n">
        <v>1</v>
      </c>
      <c r="R96" t="n">
        <v>1</v>
      </c>
      <c r="U96" t="n">
        <v>1</v>
      </c>
      <c r="V96" t="n">
        <v>1</v>
      </c>
      <c r="W96" t="n">
        <v>1</v>
      </c>
      <c r="Y96" t="n">
        <v>1</v>
      </c>
      <c r="Z96" t="n">
        <v>1</v>
      </c>
      <c r="AA96" t="n">
        <v>1</v>
      </c>
      <c r="AB96" t="n">
        <v>1</v>
      </c>
      <c r="AC96" t="n">
        <v>1</v>
      </c>
      <c r="AD96" t="n">
        <v>1</v>
      </c>
      <c r="AE96" t="n">
        <v>1</v>
      </c>
      <c r="AF96" t="n">
        <v>8</v>
      </c>
      <c r="AG96" t="inlineStr">
        <is>
          <t>retomado</t>
        </is>
      </c>
      <c r="AH96" t="inlineStr">
        <is>
          <t>retomado</t>
        </is>
      </c>
    </row>
    <row r="97">
      <c r="A97" t="inlineStr">
        <is>
          <t>Ondas estacionarias y armónicos</t>
        </is>
      </c>
      <c r="B97" t="inlineStr">
        <is>
          <t>retomado</t>
        </is>
      </c>
      <c r="C97" t="n">
        <v>8</v>
      </c>
      <c r="D97" t="n">
        <v>11</v>
      </c>
      <c r="F97" t="n">
        <v>10.5</v>
      </c>
      <c r="I97" t="n">
        <v>9.5</v>
      </c>
      <c r="M97" t="n">
        <v>7</v>
      </c>
      <c r="O97" t="n">
        <v>1</v>
      </c>
      <c r="R97" t="n">
        <v>1</v>
      </c>
      <c r="W97" t="n">
        <v>1</v>
      </c>
      <c r="Y97" t="n">
        <v>1</v>
      </c>
      <c r="Z97" t="n">
        <v>1</v>
      </c>
      <c r="AB97" t="n">
        <v>1</v>
      </c>
      <c r="AC97" t="n">
        <v>1</v>
      </c>
      <c r="AD97" t="n">
        <v>1</v>
      </c>
      <c r="AE97" t="n">
        <v>1</v>
      </c>
      <c r="AF97" t="n">
        <v>8</v>
      </c>
      <c r="AG97" t="inlineStr">
        <is>
          <t>retomado</t>
        </is>
      </c>
      <c r="AH97" t="inlineStr">
        <is>
          <t>retomado</t>
        </is>
      </c>
    </row>
    <row r="98">
      <c r="A98" t="inlineStr">
        <is>
          <t>Ondas mecánicas transversales y longitudinales</t>
        </is>
      </c>
      <c r="B98" t="inlineStr">
        <is>
          <t>retomado</t>
        </is>
      </c>
      <c r="C98" t="n">
        <v>2</v>
      </c>
      <c r="D98" t="n">
        <v>9</v>
      </c>
      <c r="E98" t="n">
        <v>8</v>
      </c>
      <c r="G98" t="n">
        <v>6</v>
      </c>
      <c r="I98" t="n">
        <v>9.5</v>
      </c>
      <c r="L98" t="n">
        <v>9.5</v>
      </c>
      <c r="M98" t="n">
        <v>7</v>
      </c>
      <c r="P98" t="n">
        <v>1</v>
      </c>
      <c r="R98" t="n">
        <v>1</v>
      </c>
      <c r="U98" t="n">
        <v>1</v>
      </c>
      <c r="V98" t="n">
        <v>1</v>
      </c>
      <c r="W98" t="n">
        <v>1</v>
      </c>
      <c r="X98" t="n">
        <v>1</v>
      </c>
      <c r="Y98" t="n">
        <v>1</v>
      </c>
      <c r="Z98" t="n">
        <v>1</v>
      </c>
      <c r="AA98" t="n">
        <v>1</v>
      </c>
      <c r="AB98" t="n">
        <v>1</v>
      </c>
      <c r="AC98" t="n">
        <v>1</v>
      </c>
      <c r="AD98" t="n">
        <v>1</v>
      </c>
      <c r="AE98" t="n">
        <v>1</v>
      </c>
      <c r="AF98" t="n">
        <v>8</v>
      </c>
      <c r="AG98" t="inlineStr">
        <is>
          <t>retomado</t>
        </is>
      </c>
      <c r="AH98" t="inlineStr">
        <is>
          <t>retomado</t>
        </is>
      </c>
    </row>
    <row r="99">
      <c r="A99" t="inlineStr">
        <is>
          <t>Péndulo simple</t>
        </is>
      </c>
      <c r="B99" t="inlineStr">
        <is>
          <t>retomado</t>
        </is>
      </c>
      <c r="C99" t="n">
        <v>8</v>
      </c>
      <c r="D99" t="n">
        <v>11</v>
      </c>
      <c r="F99" t="n">
        <v>8</v>
      </c>
      <c r="I99" t="n">
        <v>4</v>
      </c>
      <c r="J99" t="n">
        <v>7</v>
      </c>
      <c r="O99" t="n">
        <v>1</v>
      </c>
      <c r="Z99" t="n">
        <v>1</v>
      </c>
      <c r="AA99" t="n">
        <v>1</v>
      </c>
      <c r="AC99" t="n">
        <v>1</v>
      </c>
      <c r="AF99" t="n">
        <v>8</v>
      </c>
      <c r="AG99" t="inlineStr">
        <is>
          <t>retomado</t>
        </is>
      </c>
      <c r="AH99" t="inlineStr">
        <is>
          <t>retomado</t>
        </is>
      </c>
    </row>
    <row r="100">
      <c r="A100" t="inlineStr">
        <is>
          <t>Posición, desplazamiento y trayectoria</t>
        </is>
      </c>
      <c r="B100" t="inlineStr">
        <is>
          <t>retomado</t>
        </is>
      </c>
      <c r="C100" t="n">
        <v>5</v>
      </c>
      <c r="D100" t="n">
        <v>10</v>
      </c>
      <c r="F100" t="n">
        <v>8</v>
      </c>
      <c r="G100" t="n">
        <v>8.5</v>
      </c>
      <c r="I100" t="n">
        <v>9.5</v>
      </c>
      <c r="J100" t="n">
        <v>9</v>
      </c>
      <c r="L100" t="n">
        <v>9.5</v>
      </c>
      <c r="M100" t="n">
        <v>7</v>
      </c>
      <c r="O100" t="n">
        <v>1</v>
      </c>
      <c r="P100" t="n">
        <v>1</v>
      </c>
      <c r="R100" t="n">
        <v>1</v>
      </c>
      <c r="S100" t="n">
        <v>1</v>
      </c>
      <c r="U100" t="n">
        <v>1</v>
      </c>
      <c r="W100" t="n">
        <v>1</v>
      </c>
      <c r="Y100" t="n">
        <v>1</v>
      </c>
      <c r="Z100" t="n">
        <v>1</v>
      </c>
      <c r="AC100" t="n">
        <v>1</v>
      </c>
      <c r="AD100" t="n">
        <v>1</v>
      </c>
      <c r="AF100" t="n">
        <v>5</v>
      </c>
      <c r="AG100" t="inlineStr">
        <is>
          <t>retomado</t>
        </is>
      </c>
      <c r="AH100" t="inlineStr">
        <is>
          <t>retomado</t>
        </is>
      </c>
    </row>
    <row r="101">
      <c r="A101" t="inlineStr">
        <is>
          <t>Potencia mecánica</t>
        </is>
      </c>
      <c r="B101" t="inlineStr">
        <is>
          <t>retomado</t>
        </is>
      </c>
      <c r="C101" t="n">
        <v>5</v>
      </c>
      <c r="D101" t="n">
        <v>10</v>
      </c>
      <c r="F101" t="n">
        <v>10.5</v>
      </c>
      <c r="G101" t="n">
        <v>8.5</v>
      </c>
      <c r="I101" t="n">
        <v>8</v>
      </c>
      <c r="L101" t="n">
        <v>9.5</v>
      </c>
      <c r="M101" t="n">
        <v>7</v>
      </c>
      <c r="O101" t="n">
        <v>1</v>
      </c>
      <c r="P101" t="n">
        <v>1</v>
      </c>
      <c r="U101" t="n">
        <v>1</v>
      </c>
      <c r="Y101" t="n">
        <v>1</v>
      </c>
      <c r="Z101" t="n">
        <v>1</v>
      </c>
      <c r="AC101" t="n">
        <v>1</v>
      </c>
      <c r="AD101" t="n">
        <v>1</v>
      </c>
      <c r="AE101" t="n">
        <v>1</v>
      </c>
      <c r="AF101" t="n">
        <v>8</v>
      </c>
      <c r="AG101" t="inlineStr">
        <is>
          <t>retomado</t>
        </is>
      </c>
      <c r="AH101" t="inlineStr">
        <is>
          <t>retomado</t>
        </is>
      </c>
    </row>
    <row r="102">
      <c r="A102" t="inlineStr">
        <is>
          <t>Presión</t>
        </is>
      </c>
      <c r="B102" t="inlineStr">
        <is>
          <t>retomado</t>
        </is>
      </c>
      <c r="C102" t="n">
        <v>6</v>
      </c>
      <c r="D102" t="n">
        <v>9</v>
      </c>
      <c r="F102" t="n">
        <v>8</v>
      </c>
      <c r="G102" t="n">
        <v>6</v>
      </c>
      <c r="I102" t="n">
        <v>3</v>
      </c>
      <c r="L102" t="n">
        <v>9.5</v>
      </c>
      <c r="M102" t="n">
        <v>7</v>
      </c>
      <c r="O102" t="n">
        <v>1</v>
      </c>
      <c r="R102" t="n">
        <v>1</v>
      </c>
      <c r="U102" t="n">
        <v>1</v>
      </c>
      <c r="Y102" t="n">
        <v>1</v>
      </c>
      <c r="Z102" t="n">
        <v>1</v>
      </c>
      <c r="AA102" t="n">
        <v>1</v>
      </c>
      <c r="AD102" t="n">
        <v>1</v>
      </c>
      <c r="AF102" t="n">
        <v>6</v>
      </c>
      <c r="AG102" t="inlineStr">
        <is>
          <t>retomado</t>
        </is>
      </c>
      <c r="AH102" t="inlineStr">
        <is>
          <t>retomado</t>
        </is>
      </c>
    </row>
    <row r="103">
      <c r="A103" t="inlineStr">
        <is>
          <t>Presión hidrostática y atmosférica</t>
        </is>
      </c>
      <c r="B103" t="inlineStr">
        <is>
          <t>retomado</t>
        </is>
      </c>
      <c r="C103" t="n">
        <v>6</v>
      </c>
      <c r="D103" t="n">
        <v>9</v>
      </c>
      <c r="F103" t="n">
        <v>8</v>
      </c>
      <c r="G103" t="n">
        <v>6</v>
      </c>
      <c r="I103" t="n">
        <v>7</v>
      </c>
      <c r="M103" t="n">
        <v>7</v>
      </c>
      <c r="O103" t="n">
        <v>1</v>
      </c>
      <c r="Y103" t="n">
        <v>1</v>
      </c>
      <c r="Z103" t="n">
        <v>1</v>
      </c>
      <c r="AD103" t="n">
        <v>1</v>
      </c>
      <c r="AF103" t="n">
        <v>6</v>
      </c>
      <c r="AG103" t="inlineStr">
        <is>
          <t>retomado</t>
        </is>
      </c>
      <c r="AH103" t="inlineStr">
        <is>
          <t>retomado</t>
        </is>
      </c>
    </row>
    <row r="104">
      <c r="A104" t="inlineStr">
        <is>
          <t>Primera ley de Newton: inercia</t>
        </is>
      </c>
      <c r="B104" t="inlineStr">
        <is>
          <t>retomado</t>
        </is>
      </c>
      <c r="C104" t="n">
        <v>5</v>
      </c>
      <c r="D104" t="n">
        <v>10</v>
      </c>
      <c r="E104" t="n">
        <v>9</v>
      </c>
      <c r="F104" t="n">
        <v>10.5</v>
      </c>
      <c r="G104" t="n">
        <v>6</v>
      </c>
      <c r="I104" t="n">
        <v>8</v>
      </c>
      <c r="J104" t="n">
        <v>7</v>
      </c>
      <c r="L104" t="n">
        <v>9.5</v>
      </c>
      <c r="M104" t="n">
        <v>7</v>
      </c>
      <c r="N104" t="n">
        <v>1</v>
      </c>
      <c r="O104" t="n">
        <v>1</v>
      </c>
      <c r="P104" t="n">
        <v>1</v>
      </c>
      <c r="R104" t="n">
        <v>1</v>
      </c>
      <c r="S104" t="n">
        <v>1</v>
      </c>
      <c r="U104" t="n">
        <v>1</v>
      </c>
      <c r="V104" t="n">
        <v>1</v>
      </c>
      <c r="W104" t="n">
        <v>1</v>
      </c>
      <c r="Y104" t="n">
        <v>1</v>
      </c>
      <c r="Z104" t="n">
        <v>1</v>
      </c>
      <c r="AB104" t="n">
        <v>1</v>
      </c>
      <c r="AC104" t="n">
        <v>1</v>
      </c>
      <c r="AD104" t="n">
        <v>1</v>
      </c>
      <c r="AE104" t="n">
        <v>1</v>
      </c>
      <c r="AF104" t="n">
        <v>5</v>
      </c>
      <c r="AG104" t="inlineStr">
        <is>
          <t>retomado</t>
        </is>
      </c>
      <c r="AH104" t="inlineStr">
        <is>
          <t>retomado</t>
        </is>
      </c>
    </row>
    <row r="105">
      <c r="A105" t="inlineStr">
        <is>
          <t>Principio de Arquímedes: empuje</t>
        </is>
      </c>
      <c r="B105" t="inlineStr">
        <is>
          <t>retomado</t>
        </is>
      </c>
      <c r="C105" t="n">
        <v>6</v>
      </c>
      <c r="D105" t="n">
        <v>9</v>
      </c>
      <c r="F105" t="n">
        <v>8</v>
      </c>
      <c r="G105" t="n">
        <v>6</v>
      </c>
      <c r="I105" t="n">
        <v>8</v>
      </c>
      <c r="J105" t="n">
        <v>7</v>
      </c>
      <c r="M105" t="n">
        <v>7</v>
      </c>
      <c r="O105" t="n">
        <v>1</v>
      </c>
      <c r="R105" t="n">
        <v>1</v>
      </c>
      <c r="Y105" t="n">
        <v>1</v>
      </c>
      <c r="Z105" t="n">
        <v>1</v>
      </c>
      <c r="AD105" t="n">
        <v>1</v>
      </c>
      <c r="AF105" t="n">
        <v>6</v>
      </c>
      <c r="AG105" t="inlineStr">
        <is>
          <t>retomado</t>
        </is>
      </c>
      <c r="AH105" t="inlineStr">
        <is>
          <t>retomado</t>
        </is>
      </c>
    </row>
    <row r="106">
      <c r="A106" t="inlineStr">
        <is>
          <t>Hidrodinámica: continuidad y Bernoulli</t>
        </is>
      </c>
      <c r="B106" t="inlineStr">
        <is>
          <t>retomado</t>
        </is>
      </c>
      <c r="C106" t="n">
        <v>6</v>
      </c>
      <c r="D106" t="n">
        <v>9</v>
      </c>
      <c r="X106" t="n">
        <v>1</v>
      </c>
      <c r="Z106" t="n">
        <v>1</v>
      </c>
      <c r="AF106" t="n">
        <v>6</v>
      </c>
      <c r="AG106" t="inlineStr">
        <is>
          <t>retomado</t>
        </is>
      </c>
      <c r="AH106" t="inlineStr">
        <is>
          <t>retomado</t>
        </is>
      </c>
    </row>
    <row r="107">
      <c r="A107" t="inlineStr">
        <is>
          <t>Principio de Pascal</t>
        </is>
      </c>
      <c r="B107" t="inlineStr">
        <is>
          <t>retomado</t>
        </is>
      </c>
      <c r="C107" t="n">
        <v>6</v>
      </c>
      <c r="D107" t="n">
        <v>9</v>
      </c>
      <c r="F107" t="n">
        <v>8</v>
      </c>
      <c r="M107" t="n">
        <v>7</v>
      </c>
      <c r="O107" t="n">
        <v>1</v>
      </c>
      <c r="AD107" t="n">
        <v>1</v>
      </c>
      <c r="AF107" t="n">
        <v>9</v>
      </c>
      <c r="AG107" t="inlineStr">
        <is>
          <t>retomado</t>
        </is>
      </c>
      <c r="AH107" t="inlineStr">
        <is>
          <t>sin_referente</t>
        </is>
      </c>
    </row>
    <row r="108">
      <c r="A108" t="inlineStr">
        <is>
          <t>Fuentes de luz, propagación y sombras</t>
        </is>
      </c>
      <c r="B108" t="inlineStr">
        <is>
          <t>retomado</t>
        </is>
      </c>
      <c r="C108" t="n">
        <v>2</v>
      </c>
      <c r="D108" t="n">
        <v>10</v>
      </c>
      <c r="E108" t="n">
        <v>4</v>
      </c>
      <c r="F108" t="n">
        <v>8</v>
      </c>
      <c r="G108" t="n">
        <v>2</v>
      </c>
      <c r="I108" t="n">
        <v>2</v>
      </c>
      <c r="J108" t="n">
        <v>7</v>
      </c>
      <c r="K108" t="n">
        <v>9</v>
      </c>
      <c r="M108" t="n">
        <v>7</v>
      </c>
      <c r="O108" t="n">
        <v>1</v>
      </c>
      <c r="R108" t="n">
        <v>1</v>
      </c>
      <c r="S108" t="n">
        <v>1</v>
      </c>
      <c r="T108" t="n">
        <v>1</v>
      </c>
      <c r="W108" t="n">
        <v>1</v>
      </c>
      <c r="Y108" t="n">
        <v>1</v>
      </c>
      <c r="Z108" t="n">
        <v>1</v>
      </c>
      <c r="AA108" t="n">
        <v>1</v>
      </c>
      <c r="AF108" t="n">
        <v>2</v>
      </c>
      <c r="AG108" t="inlineStr">
        <is>
          <t>retomado</t>
        </is>
      </c>
      <c r="AH108" t="inlineStr">
        <is>
          <t>retomado</t>
        </is>
      </c>
    </row>
    <row r="109">
      <c r="A109" t="inlineStr">
        <is>
          <t>Rapidez y velocidad</t>
        </is>
      </c>
      <c r="B109" t="inlineStr">
        <is>
          <t>retomado</t>
        </is>
      </c>
      <c r="C109" t="n">
        <v>2</v>
      </c>
      <c r="D109" t="n">
        <v>9</v>
      </c>
      <c r="F109" t="n">
        <v>8</v>
      </c>
      <c r="G109" t="n">
        <v>6</v>
      </c>
      <c r="I109" t="n">
        <v>8</v>
      </c>
      <c r="J109" t="n">
        <v>7</v>
      </c>
      <c r="L109" t="n">
        <v>9.5</v>
      </c>
      <c r="M109" t="n">
        <v>7</v>
      </c>
      <c r="O109" t="n">
        <v>1</v>
      </c>
      <c r="P109" t="n">
        <v>1</v>
      </c>
      <c r="R109" t="n">
        <v>1</v>
      </c>
      <c r="U109" t="n">
        <v>1</v>
      </c>
      <c r="W109" t="n">
        <v>1</v>
      </c>
      <c r="Y109" t="n">
        <v>1</v>
      </c>
      <c r="Z109" t="n">
        <v>1</v>
      </c>
      <c r="AB109" t="n">
        <v>1</v>
      </c>
      <c r="AC109" t="n">
        <v>1</v>
      </c>
      <c r="AD109" t="n">
        <v>1</v>
      </c>
      <c r="AE109" t="n">
        <v>1</v>
      </c>
      <c r="AF109" t="n">
        <v>5</v>
      </c>
      <c r="AG109" t="inlineStr">
        <is>
          <t>retomado</t>
        </is>
      </c>
      <c r="AH109" t="inlineStr">
        <is>
          <t>retomado</t>
        </is>
      </c>
    </row>
    <row r="110">
      <c r="A110" t="inlineStr">
        <is>
          <t>Reflexión de la luz</t>
        </is>
      </c>
      <c r="B110" t="inlineStr">
        <is>
          <t>retomado</t>
        </is>
      </c>
      <c r="C110" t="n">
        <v>4</v>
      </c>
      <c r="D110" t="n">
        <v>10</v>
      </c>
      <c r="E110" t="n">
        <v>4</v>
      </c>
      <c r="F110" t="n">
        <v>8</v>
      </c>
      <c r="G110" t="n">
        <v>2</v>
      </c>
      <c r="I110" t="n">
        <v>2</v>
      </c>
      <c r="J110" t="n">
        <v>7</v>
      </c>
      <c r="K110" t="n">
        <v>9</v>
      </c>
      <c r="L110" t="n">
        <v>9.5</v>
      </c>
      <c r="M110" t="n">
        <v>7</v>
      </c>
      <c r="O110" t="n">
        <v>1</v>
      </c>
      <c r="P110" t="n">
        <v>1</v>
      </c>
      <c r="T110" t="n">
        <v>1</v>
      </c>
      <c r="U110" t="n">
        <v>1</v>
      </c>
      <c r="V110" t="n">
        <v>1</v>
      </c>
      <c r="W110" t="n">
        <v>1</v>
      </c>
      <c r="Y110" t="n">
        <v>1</v>
      </c>
      <c r="Z110" t="n">
        <v>1</v>
      </c>
      <c r="AB110" t="n">
        <v>1</v>
      </c>
      <c r="AD110" t="n">
        <v>1</v>
      </c>
      <c r="AE110" t="n">
        <v>1</v>
      </c>
      <c r="AF110" t="n">
        <v>4</v>
      </c>
      <c r="AG110" t="inlineStr">
        <is>
          <t>retomado</t>
        </is>
      </c>
      <c r="AH110" t="inlineStr">
        <is>
          <t>retomado</t>
        </is>
      </c>
    </row>
    <row r="111">
      <c r="A111" t="inlineStr">
        <is>
          <t>Refracción de la luz</t>
        </is>
      </c>
      <c r="B111" t="inlineStr">
        <is>
          <t>retomado</t>
        </is>
      </c>
      <c r="C111" t="n">
        <v>7</v>
      </c>
      <c r="D111" t="n">
        <v>10</v>
      </c>
      <c r="E111" t="n">
        <v>4</v>
      </c>
      <c r="F111" t="n">
        <v>8</v>
      </c>
      <c r="G111" t="n">
        <v>6</v>
      </c>
      <c r="I111" t="n">
        <v>6</v>
      </c>
      <c r="J111" t="n">
        <v>7</v>
      </c>
      <c r="K111" t="n">
        <v>9</v>
      </c>
      <c r="L111" t="n">
        <v>9.5</v>
      </c>
      <c r="M111" t="n">
        <v>7</v>
      </c>
      <c r="O111" t="n">
        <v>1</v>
      </c>
      <c r="P111" t="n">
        <v>1</v>
      </c>
      <c r="S111" t="n">
        <v>1</v>
      </c>
      <c r="T111" t="n">
        <v>1</v>
      </c>
      <c r="U111" t="n">
        <v>1</v>
      </c>
      <c r="V111" t="n">
        <v>1</v>
      </c>
      <c r="W111" t="n">
        <v>1</v>
      </c>
      <c r="Y111" t="n">
        <v>1</v>
      </c>
      <c r="Z111" t="n">
        <v>1</v>
      </c>
      <c r="AB111" t="n">
        <v>1</v>
      </c>
      <c r="AC111" t="n">
        <v>1</v>
      </c>
      <c r="AD111" t="n">
        <v>1</v>
      </c>
      <c r="AE111" t="n">
        <v>1</v>
      </c>
      <c r="AF111" t="n">
        <v>7</v>
      </c>
      <c r="AG111" t="inlineStr">
        <is>
          <t>retomado</t>
        </is>
      </c>
      <c r="AH111" t="inlineStr">
        <is>
          <t>retomado</t>
        </is>
      </c>
    </row>
    <row r="112">
      <c r="A112" t="inlineStr">
        <is>
          <t>Resistencia equivalente</t>
        </is>
      </c>
      <c r="B112" t="inlineStr">
        <is>
          <t>retomado</t>
        </is>
      </c>
      <c r="C112" t="n">
        <v>6</v>
      </c>
      <c r="D112" t="n">
        <v>11</v>
      </c>
      <c r="F112" t="n">
        <v>8</v>
      </c>
      <c r="G112" t="n">
        <v>8.5</v>
      </c>
      <c r="J112" t="n">
        <v>7</v>
      </c>
      <c r="L112" t="n">
        <v>9.5</v>
      </c>
      <c r="O112" t="n">
        <v>1</v>
      </c>
      <c r="P112" t="n">
        <v>1</v>
      </c>
      <c r="U112" t="n">
        <v>1</v>
      </c>
      <c r="W112" t="n">
        <v>1</v>
      </c>
      <c r="Y112" t="n">
        <v>1</v>
      </c>
      <c r="Z112" t="n">
        <v>1</v>
      </c>
      <c r="AC112" t="n">
        <v>1</v>
      </c>
      <c r="AD112" t="n">
        <v>1</v>
      </c>
      <c r="AF112" t="n">
        <v>6</v>
      </c>
      <c r="AG112" t="inlineStr">
        <is>
          <t>retomado</t>
        </is>
      </c>
      <c r="AH112" t="inlineStr">
        <is>
          <t>retomado</t>
        </is>
      </c>
    </row>
    <row r="113">
      <c r="A113" t="inlineStr">
        <is>
          <t>Segunda ley de Newton</t>
        </is>
      </c>
      <c r="B113" t="inlineStr">
        <is>
          <t>retomado</t>
        </is>
      </c>
      <c r="C113" t="n">
        <v>5</v>
      </c>
      <c r="D113" t="n">
        <v>10</v>
      </c>
      <c r="E113" t="n">
        <v>6</v>
      </c>
      <c r="F113" t="n">
        <v>8</v>
      </c>
      <c r="G113" t="n">
        <v>6</v>
      </c>
      <c r="I113" t="n">
        <v>8</v>
      </c>
      <c r="J113" t="n">
        <v>7</v>
      </c>
      <c r="L113" t="n">
        <v>9.5</v>
      </c>
      <c r="M113" t="n">
        <v>7</v>
      </c>
      <c r="N113" t="n">
        <v>1</v>
      </c>
      <c r="O113" t="n">
        <v>1</v>
      </c>
      <c r="P113" t="n">
        <v>1</v>
      </c>
      <c r="R113" t="n">
        <v>1</v>
      </c>
      <c r="S113" t="n">
        <v>1</v>
      </c>
      <c r="U113" t="n">
        <v>1</v>
      </c>
      <c r="V113" t="n">
        <v>1</v>
      </c>
      <c r="W113" t="n">
        <v>1</v>
      </c>
      <c r="Y113" t="n">
        <v>1</v>
      </c>
      <c r="Z113" t="n">
        <v>1</v>
      </c>
      <c r="AA113" t="n">
        <v>1</v>
      </c>
      <c r="AB113" t="n">
        <v>1</v>
      </c>
      <c r="AC113" t="n">
        <v>1</v>
      </c>
      <c r="AD113" t="n">
        <v>1</v>
      </c>
      <c r="AE113" t="n">
        <v>1</v>
      </c>
      <c r="AF113" t="n">
        <v>5</v>
      </c>
      <c r="AG113" t="inlineStr">
        <is>
          <t>retomado</t>
        </is>
      </c>
      <c r="AH113" t="inlineStr">
        <is>
          <t>retomado</t>
        </is>
      </c>
    </row>
    <row r="114">
      <c r="A114" t="inlineStr">
        <is>
          <t>Sistema Internacional de Unidades</t>
        </is>
      </c>
      <c r="B114" t="inlineStr">
        <is>
          <t>retomado</t>
        </is>
      </c>
      <c r="C114" t="n">
        <v>5</v>
      </c>
      <c r="D114" t="n">
        <v>10</v>
      </c>
      <c r="F114" t="n">
        <v>10.5</v>
      </c>
      <c r="G114" t="n">
        <v>6</v>
      </c>
      <c r="J114" t="n">
        <v>9</v>
      </c>
      <c r="K114" t="n">
        <v>8</v>
      </c>
      <c r="L114" t="n">
        <v>9.5</v>
      </c>
      <c r="M114" t="n">
        <v>7</v>
      </c>
      <c r="O114" t="n">
        <v>1</v>
      </c>
      <c r="P114" t="n">
        <v>1</v>
      </c>
      <c r="S114" t="n">
        <v>1</v>
      </c>
      <c r="T114" t="n">
        <v>1</v>
      </c>
      <c r="U114" t="n">
        <v>1</v>
      </c>
      <c r="V114" t="n">
        <v>1</v>
      </c>
      <c r="W114" t="n">
        <v>1</v>
      </c>
      <c r="Y114" t="n">
        <v>1</v>
      </c>
      <c r="Z114" t="n">
        <v>1</v>
      </c>
      <c r="AC114" t="n">
        <v>1</v>
      </c>
      <c r="AD114" t="n">
        <v>1</v>
      </c>
      <c r="AF114" t="n">
        <v>5</v>
      </c>
      <c r="AG114" t="inlineStr">
        <is>
          <t>retomado</t>
        </is>
      </c>
      <c r="AH114" t="inlineStr">
        <is>
          <t>retomado</t>
        </is>
      </c>
    </row>
    <row r="115">
      <c r="A115" t="inlineStr">
        <is>
          <t>El sonido como onda mecánica</t>
        </is>
      </c>
      <c r="B115" t="inlineStr">
        <is>
          <t>retomado</t>
        </is>
      </c>
      <c r="C115" t="n">
        <v>4</v>
      </c>
      <c r="D115" t="n">
        <v>11</v>
      </c>
      <c r="E115" t="n">
        <v>8</v>
      </c>
      <c r="F115" t="n">
        <v>8</v>
      </c>
      <c r="G115" t="n">
        <v>2</v>
      </c>
      <c r="I115" t="n">
        <v>6</v>
      </c>
      <c r="J115" t="n">
        <v>7</v>
      </c>
      <c r="L115" t="n">
        <v>9.5</v>
      </c>
      <c r="M115" t="n">
        <v>7</v>
      </c>
      <c r="O115" t="n">
        <v>1</v>
      </c>
      <c r="P115" t="n">
        <v>1</v>
      </c>
      <c r="R115" t="n">
        <v>1</v>
      </c>
      <c r="U115" t="n">
        <v>1</v>
      </c>
      <c r="V115" t="n">
        <v>1</v>
      </c>
      <c r="W115" t="n">
        <v>1</v>
      </c>
      <c r="X115" t="n">
        <v>1</v>
      </c>
      <c r="Y115" t="n">
        <v>1</v>
      </c>
      <c r="Z115" t="n">
        <v>1</v>
      </c>
      <c r="AA115" t="n">
        <v>1</v>
      </c>
      <c r="AB115" t="n">
        <v>1</v>
      </c>
      <c r="AC115" t="n">
        <v>1</v>
      </c>
      <c r="AD115" t="n">
        <v>1</v>
      </c>
      <c r="AE115" t="n">
        <v>1</v>
      </c>
      <c r="AF115" t="n">
        <v>4</v>
      </c>
      <c r="AG115" t="inlineStr">
        <is>
          <t>retomado</t>
        </is>
      </c>
      <c r="AH115" t="inlineStr">
        <is>
          <t>retomado</t>
        </is>
      </c>
    </row>
    <row r="116">
      <c r="A116" t="inlineStr">
        <is>
          <t>Suma de vectores y componentes rectangulares</t>
        </is>
      </c>
      <c r="B116" t="inlineStr">
        <is>
          <t>retomado</t>
        </is>
      </c>
      <c r="C116" t="n">
        <v>5</v>
      </c>
      <c r="D116" t="n">
        <v>10</v>
      </c>
      <c r="F116" t="n">
        <v>10.5</v>
      </c>
      <c r="G116" t="n">
        <v>8.5</v>
      </c>
      <c r="I116" t="n">
        <v>8</v>
      </c>
      <c r="J116" t="n">
        <v>7</v>
      </c>
      <c r="L116" t="n">
        <v>9.5</v>
      </c>
      <c r="O116" t="n">
        <v>1</v>
      </c>
      <c r="P116" t="n">
        <v>1</v>
      </c>
      <c r="R116" t="n">
        <v>1</v>
      </c>
      <c r="U116" t="n">
        <v>1</v>
      </c>
      <c r="W116" t="n">
        <v>1</v>
      </c>
      <c r="Y116" t="n">
        <v>1</v>
      </c>
      <c r="Z116" t="n">
        <v>1</v>
      </c>
      <c r="AA116" t="n">
        <v>1</v>
      </c>
      <c r="AB116" t="n">
        <v>1</v>
      </c>
      <c r="AC116" t="n">
        <v>1</v>
      </c>
      <c r="AD116" t="n">
        <v>1</v>
      </c>
      <c r="AE116" t="n">
        <v>1</v>
      </c>
      <c r="AF116" t="n">
        <v>8</v>
      </c>
      <c r="AG116" t="inlineStr">
        <is>
          <t>retomado</t>
        </is>
      </c>
      <c r="AH116" t="inlineStr">
        <is>
          <t>retomado</t>
        </is>
      </c>
    </row>
    <row r="117">
      <c r="A117" t="inlineStr">
        <is>
          <t>Temperatura y escalas termométricas</t>
        </is>
      </c>
      <c r="B117" t="inlineStr">
        <is>
          <t>retomado</t>
        </is>
      </c>
      <c r="C117" t="n">
        <v>2</v>
      </c>
      <c r="D117" t="n">
        <v>10</v>
      </c>
      <c r="F117" t="n">
        <v>8</v>
      </c>
      <c r="G117" t="n">
        <v>2</v>
      </c>
      <c r="I117" t="n">
        <v>9.5</v>
      </c>
      <c r="J117" t="n">
        <v>7</v>
      </c>
      <c r="M117" t="n">
        <v>9.5</v>
      </c>
      <c r="O117" t="n">
        <v>1</v>
      </c>
      <c r="R117" t="n">
        <v>1</v>
      </c>
      <c r="S117" t="n">
        <v>1</v>
      </c>
      <c r="V117" t="n">
        <v>1</v>
      </c>
      <c r="W117" t="n">
        <v>1</v>
      </c>
      <c r="Y117" t="n">
        <v>1</v>
      </c>
      <c r="Z117" t="n">
        <v>1</v>
      </c>
      <c r="AD117" t="n">
        <v>1</v>
      </c>
      <c r="AE117" t="n">
        <v>1</v>
      </c>
      <c r="AF117" t="n">
        <v>2</v>
      </c>
      <c r="AG117" t="inlineStr">
        <is>
          <t>retomado</t>
        </is>
      </c>
      <c r="AH117" t="inlineStr">
        <is>
          <t>retomado</t>
        </is>
      </c>
    </row>
    <row r="118">
      <c r="A118" t="inlineStr">
        <is>
          <t>Tensión superficial y capilaridad</t>
        </is>
      </c>
      <c r="B118" t="inlineStr">
        <is>
          <t>retomado</t>
        </is>
      </c>
      <c r="C118" t="n">
        <v>6</v>
      </c>
      <c r="D118" t="n">
        <v>10</v>
      </c>
      <c r="F118" t="n">
        <v>10.5</v>
      </c>
      <c r="O118" t="n">
        <v>1</v>
      </c>
      <c r="AF118" t="n">
        <v>6</v>
      </c>
      <c r="AG118" t="inlineStr">
        <is>
          <t>retomado</t>
        </is>
      </c>
      <c r="AH118" t="inlineStr">
        <is>
          <t>retomado</t>
        </is>
      </c>
    </row>
    <row r="119">
      <c r="A119" t="inlineStr">
        <is>
          <t>Tercera ley de Newton: acción y reacción</t>
        </is>
      </c>
      <c r="B119" t="inlineStr">
        <is>
          <t>retomado</t>
        </is>
      </c>
      <c r="C119" t="n">
        <v>5</v>
      </c>
      <c r="D119" t="n">
        <v>10</v>
      </c>
      <c r="E119" t="n">
        <v>9</v>
      </c>
      <c r="F119" t="n">
        <v>10.5</v>
      </c>
      <c r="G119" t="n">
        <v>6</v>
      </c>
      <c r="I119" t="n">
        <v>9.5</v>
      </c>
      <c r="L119" t="n">
        <v>9.5</v>
      </c>
      <c r="M119" t="n">
        <v>7</v>
      </c>
      <c r="N119" t="n">
        <v>1</v>
      </c>
      <c r="O119" t="n">
        <v>1</v>
      </c>
      <c r="P119" t="n">
        <v>1</v>
      </c>
      <c r="R119" t="n">
        <v>1</v>
      </c>
      <c r="U119" t="n">
        <v>1</v>
      </c>
      <c r="V119" t="n">
        <v>1</v>
      </c>
      <c r="W119" t="n">
        <v>1</v>
      </c>
      <c r="Y119" t="n">
        <v>1</v>
      </c>
      <c r="Z119" t="n">
        <v>1</v>
      </c>
      <c r="AB119" t="n">
        <v>1</v>
      </c>
      <c r="AC119" t="n">
        <v>1</v>
      </c>
      <c r="AD119" t="n">
        <v>1</v>
      </c>
      <c r="AE119" t="n">
        <v>1</v>
      </c>
      <c r="AF119" t="n">
        <v>5</v>
      </c>
      <c r="AG119" t="inlineStr">
        <is>
          <t>retomado</t>
        </is>
      </c>
      <c r="AH119" t="inlineStr">
        <is>
          <t>retomado</t>
        </is>
      </c>
    </row>
    <row r="120">
      <c r="A120" t="inlineStr">
        <is>
          <t>Características del sonido: tono, intensidad y eco</t>
        </is>
      </c>
      <c r="B120" t="inlineStr">
        <is>
          <t>retomado</t>
        </is>
      </c>
      <c r="C120" t="n">
        <v>2</v>
      </c>
      <c r="D120" t="n">
        <v>11</v>
      </c>
      <c r="F120" t="n">
        <v>8</v>
      </c>
      <c r="G120" t="n">
        <v>2</v>
      </c>
      <c r="I120" t="n">
        <v>2</v>
      </c>
      <c r="J120" t="n">
        <v>7</v>
      </c>
      <c r="L120" t="n">
        <v>9.5</v>
      </c>
      <c r="M120" t="n">
        <v>7</v>
      </c>
      <c r="O120" t="n">
        <v>1</v>
      </c>
      <c r="U120" t="n">
        <v>1</v>
      </c>
      <c r="W120" t="n">
        <v>1</v>
      </c>
      <c r="Z120" t="n">
        <v>1</v>
      </c>
      <c r="AB120" t="n">
        <v>1</v>
      </c>
      <c r="AC120" t="n">
        <v>1</v>
      </c>
      <c r="AD120" t="n">
        <v>1</v>
      </c>
      <c r="AE120" t="n">
        <v>1</v>
      </c>
      <c r="AF120" t="n">
        <v>2</v>
      </c>
      <c r="AG120" t="inlineStr">
        <is>
          <t>retomado</t>
        </is>
      </c>
      <c r="AH120" t="inlineStr">
        <is>
          <t>retomado</t>
        </is>
      </c>
    </row>
    <row r="121">
      <c r="A121" t="inlineStr">
        <is>
          <t>Torque o momento de fuerza</t>
        </is>
      </c>
      <c r="B121" t="inlineStr">
        <is>
          <t>retomado</t>
        </is>
      </c>
      <c r="C121" t="n">
        <v>4</v>
      </c>
      <c r="D121" t="n">
        <v>10</v>
      </c>
      <c r="G121" t="n">
        <v>6</v>
      </c>
      <c r="I121" t="n">
        <v>5</v>
      </c>
      <c r="L121" t="n">
        <v>9.5</v>
      </c>
      <c r="M121" t="n">
        <v>7</v>
      </c>
      <c r="P121" t="n">
        <v>1</v>
      </c>
      <c r="U121" t="n">
        <v>1</v>
      </c>
      <c r="Y121" t="n">
        <v>1</v>
      </c>
      <c r="Z121" t="n">
        <v>1</v>
      </c>
      <c r="AA121" t="n">
        <v>1</v>
      </c>
      <c r="AB121" t="n">
        <v>1</v>
      </c>
      <c r="AD121" t="n">
        <v>1</v>
      </c>
      <c r="AE121" t="n">
        <v>1</v>
      </c>
      <c r="AF121" t="n">
        <v>5</v>
      </c>
      <c r="AG121" t="inlineStr">
        <is>
          <t>retomado</t>
        </is>
      </c>
      <c r="AH121" t="inlineStr">
        <is>
          <t>retomado</t>
        </is>
      </c>
    </row>
    <row r="122">
      <c r="A122" t="inlineStr">
        <is>
          <t>Trabajo mecánico</t>
        </is>
      </c>
      <c r="B122" t="inlineStr">
        <is>
          <t>retomado</t>
        </is>
      </c>
      <c r="C122" t="n">
        <v>8</v>
      </c>
      <c r="D122" t="n">
        <v>9</v>
      </c>
      <c r="F122" t="n">
        <v>8</v>
      </c>
      <c r="G122" t="n">
        <v>6</v>
      </c>
      <c r="I122" t="n">
        <v>8</v>
      </c>
      <c r="J122" t="n">
        <v>7</v>
      </c>
      <c r="L122" t="n">
        <v>9.5</v>
      </c>
      <c r="M122" t="n">
        <v>7</v>
      </c>
      <c r="O122" t="n">
        <v>1</v>
      </c>
      <c r="P122" t="n">
        <v>1</v>
      </c>
      <c r="R122" t="n">
        <v>1</v>
      </c>
      <c r="U122" t="n">
        <v>1</v>
      </c>
      <c r="V122" t="n">
        <v>1</v>
      </c>
      <c r="W122" t="n">
        <v>1</v>
      </c>
      <c r="Y122" t="n">
        <v>1</v>
      </c>
      <c r="Z122" t="n">
        <v>1</v>
      </c>
      <c r="AB122" t="n">
        <v>1</v>
      </c>
      <c r="AC122" t="n">
        <v>1</v>
      </c>
      <c r="AD122" t="n">
        <v>1</v>
      </c>
      <c r="AE122" t="n">
        <v>1</v>
      </c>
      <c r="AF122" t="n">
        <v>8</v>
      </c>
      <c r="AG122" t="inlineStr">
        <is>
          <t>retomado</t>
        </is>
      </c>
      <c r="AH122" t="inlineStr">
        <is>
          <t>retomado</t>
        </is>
      </c>
    </row>
    <row r="123">
      <c r="A123" t="inlineStr">
        <is>
          <t>Transformaciones de la energía</t>
        </is>
      </c>
      <c r="B123" t="inlineStr">
        <is>
          <t>retomado</t>
        </is>
      </c>
      <c r="C123" t="n">
        <v>2</v>
      </c>
      <c r="D123" t="n">
        <v>9</v>
      </c>
      <c r="E123" t="n">
        <v>5</v>
      </c>
      <c r="F123" t="n">
        <v>8</v>
      </c>
      <c r="G123" t="n">
        <v>6</v>
      </c>
      <c r="I123" t="n">
        <v>5</v>
      </c>
      <c r="J123" t="n">
        <v>7</v>
      </c>
      <c r="K123" t="n">
        <v>8</v>
      </c>
      <c r="L123" t="n">
        <v>9.5</v>
      </c>
      <c r="M123" t="n">
        <v>7</v>
      </c>
      <c r="O123" t="n">
        <v>1</v>
      </c>
      <c r="P123" t="n">
        <v>1</v>
      </c>
      <c r="R123" t="n">
        <v>1</v>
      </c>
      <c r="S123" t="n">
        <v>1</v>
      </c>
      <c r="U123" t="n">
        <v>1</v>
      </c>
      <c r="V123" t="n">
        <v>1</v>
      </c>
      <c r="W123" t="n">
        <v>1</v>
      </c>
      <c r="Y123" t="n">
        <v>1</v>
      </c>
      <c r="Z123" t="n">
        <v>1</v>
      </c>
      <c r="AB123" t="n">
        <v>1</v>
      </c>
      <c r="AC123" t="n">
        <v>1</v>
      </c>
      <c r="AD123" t="n">
        <v>1</v>
      </c>
      <c r="AE123" t="n">
        <v>1</v>
      </c>
      <c r="AF123" t="n">
        <v>2</v>
      </c>
      <c r="AG123" t="inlineStr">
        <is>
          <t>retomado</t>
        </is>
      </c>
      <c r="AH123" t="inlineStr">
        <is>
          <t>retomado</t>
        </is>
      </c>
    </row>
    <row r="124">
      <c r="A124" t="inlineStr">
        <is>
          <t>Ventaja mecánica</t>
        </is>
      </c>
      <c r="B124" t="inlineStr">
        <is>
          <t>retomado</t>
        </is>
      </c>
      <c r="C124" t="n">
        <v>4</v>
      </c>
      <c r="D124" t="n">
        <v>9</v>
      </c>
      <c r="F124" t="n">
        <v>8</v>
      </c>
      <c r="G124" t="n">
        <v>3</v>
      </c>
      <c r="I124" t="n">
        <v>5</v>
      </c>
      <c r="M124" t="n">
        <v>7</v>
      </c>
      <c r="O124" t="n">
        <v>1</v>
      </c>
      <c r="Y124" t="n">
        <v>1</v>
      </c>
      <c r="AF124" t="n">
        <v>8</v>
      </c>
      <c r="AG124" t="inlineStr">
        <is>
          <t>retomado</t>
        </is>
      </c>
      <c r="AH124" t="inlineStr">
        <is>
          <t>retomado</t>
        </is>
      </c>
    </row>
    <row r="125">
      <c r="A125" t="inlineStr">
        <is>
          <t>Difracción de ondas y de la luz</t>
        </is>
      </c>
      <c r="B125" t="inlineStr">
        <is>
          <t>sin_referente</t>
        </is>
      </c>
      <c r="C125" t="n">
        <v>10</v>
      </c>
      <c r="D125" t="n">
        <v>10</v>
      </c>
      <c r="F125" t="n">
        <v>10.5</v>
      </c>
      <c r="M125" t="n">
        <v>9.5</v>
      </c>
      <c r="O125" t="n">
        <v>1</v>
      </c>
      <c r="V125" t="n">
        <v>1</v>
      </c>
      <c r="W125" t="n">
        <v>1</v>
      </c>
      <c r="Y125" t="n">
        <v>1</v>
      </c>
      <c r="Z125" t="n">
        <v>1</v>
      </c>
      <c r="AA125" t="n">
        <v>1</v>
      </c>
      <c r="AB125" t="n">
        <v>1</v>
      </c>
      <c r="AC125" t="n">
        <v>1</v>
      </c>
      <c r="AD125" t="n">
        <v>1</v>
      </c>
      <c r="AE125" t="n">
        <v>1</v>
      </c>
      <c r="AF125" t="n">
        <v>10</v>
      </c>
      <c r="AG125" t="inlineStr">
        <is>
          <t>sin_referente</t>
        </is>
      </c>
      <c r="AH125" t="inlineStr">
        <is>
          <t>sin_referente</t>
        </is>
      </c>
    </row>
    <row r="126">
      <c r="A126" t="inlineStr">
        <is>
          <t>Dualidad onda-partícula</t>
        </is>
      </c>
      <c r="B126" t="inlineStr">
        <is>
          <t>sin_referente</t>
        </is>
      </c>
      <c r="C126" t="n">
        <v>10</v>
      </c>
      <c r="D126" t="n">
        <v>10</v>
      </c>
      <c r="F126" t="n">
        <v>10.5</v>
      </c>
      <c r="M126" t="n">
        <v>9.5</v>
      </c>
      <c r="O126" t="n">
        <v>1</v>
      </c>
      <c r="V126" t="n">
        <v>1</v>
      </c>
      <c r="W126" t="n">
        <v>1</v>
      </c>
      <c r="X126" t="n">
        <v>1</v>
      </c>
      <c r="Y126" t="n">
        <v>1</v>
      </c>
      <c r="Z126" t="n">
        <v>1</v>
      </c>
      <c r="AA126" t="n">
        <v>1</v>
      </c>
      <c r="AB126" t="n">
        <v>1</v>
      </c>
      <c r="AC126" t="n">
        <v>1</v>
      </c>
      <c r="AD126" t="n">
        <v>1</v>
      </c>
      <c r="AE126" t="n">
        <v>1</v>
      </c>
      <c r="AF126" t="n">
        <v>10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Fotón y efecto fotoeléctrico</t>
        </is>
      </c>
      <c r="B127" t="inlineStr">
        <is>
          <t>sin_referente</t>
        </is>
      </c>
      <c r="C127" t="n">
        <v>10</v>
      </c>
      <c r="D127" t="n">
        <v>10</v>
      </c>
      <c r="F127" t="n">
        <v>10.5</v>
      </c>
      <c r="M127" t="n">
        <v>9.5</v>
      </c>
      <c r="O127" t="n">
        <v>1</v>
      </c>
      <c r="V127" t="n">
        <v>1</v>
      </c>
      <c r="W127" t="n">
        <v>1</v>
      </c>
      <c r="X127" t="n">
        <v>1</v>
      </c>
      <c r="Y127" t="n">
        <v>1</v>
      </c>
      <c r="Z127" t="n">
        <v>1</v>
      </c>
      <c r="AA127" t="n">
        <v>1</v>
      </c>
      <c r="AB127" t="n">
        <v>1</v>
      </c>
      <c r="AC127" t="n">
        <v>1</v>
      </c>
      <c r="AD127" t="n">
        <v>1</v>
      </c>
      <c r="AE127" t="n">
        <v>1</v>
      </c>
      <c r="AF127" t="n">
        <v>10</v>
      </c>
      <c r="AG127" t="inlineStr">
        <is>
          <t>sin_referente</t>
        </is>
      </c>
      <c r="AH127" t="inlineStr">
        <is>
          <t>sin_referente</t>
        </is>
      </c>
    </row>
    <row r="128">
      <c r="A128" t="inlineStr">
        <is>
          <t>Interferencia de la luz</t>
        </is>
      </c>
      <c r="B128" t="inlineStr">
        <is>
          <t>sin_referente</t>
        </is>
      </c>
      <c r="C128" t="n">
        <v>10</v>
      </c>
      <c r="D128" t="n">
        <v>10</v>
      </c>
      <c r="F128" t="n">
        <v>10.5</v>
      </c>
      <c r="M128" t="n">
        <v>9.5</v>
      </c>
      <c r="O128" t="n">
        <v>1</v>
      </c>
      <c r="V128" t="n">
        <v>1</v>
      </c>
      <c r="W128" t="n">
        <v>1</v>
      </c>
      <c r="Y128" t="n">
        <v>1</v>
      </c>
      <c r="Z128" t="n">
        <v>1</v>
      </c>
      <c r="AA128" t="n">
        <v>1</v>
      </c>
      <c r="AB128" t="n">
        <v>1</v>
      </c>
      <c r="AC128" t="n">
        <v>1</v>
      </c>
      <c r="AD128" t="n">
        <v>1</v>
      </c>
      <c r="AE128" t="n">
        <v>1</v>
      </c>
      <c r="AF128" t="n">
        <v>10</v>
      </c>
      <c r="AG128" t="inlineStr">
        <is>
          <t>sin_referente</t>
        </is>
      </c>
      <c r="AH128" t="inlineStr">
        <is>
          <t>sin_referente</t>
        </is>
      </c>
    </row>
    <row r="129">
      <c r="A129" t="inlineStr">
        <is>
          <t>Momento angular y su conservación</t>
        </is>
      </c>
      <c r="B129" t="inlineStr">
        <is>
          <t>sin_referente</t>
        </is>
      </c>
      <c r="C129" t="n">
        <v>10</v>
      </c>
      <c r="D129" t="n">
        <v>10</v>
      </c>
      <c r="Z129" t="n">
        <v>1</v>
      </c>
      <c r="AE129" t="n">
        <v>1</v>
      </c>
      <c r="AF129" t="n">
        <v>10</v>
      </c>
      <c r="AG129" t="inlineStr">
        <is>
          <t>sin_referente</t>
        </is>
      </c>
      <c r="AH129" t="inlineStr">
        <is>
          <t>sin_referente</t>
        </is>
      </c>
    </row>
    <row r="130">
      <c r="A130" t="inlineStr">
        <is>
          <t>Movimiento circular uniformemente acelerado</t>
        </is>
      </c>
      <c r="B130" t="inlineStr">
        <is>
          <t>sin_referente</t>
        </is>
      </c>
      <c r="C130" t="n">
        <v>10</v>
      </c>
      <c r="D130" t="n">
        <v>10</v>
      </c>
      <c r="AF130" t="n">
        <v>10</v>
      </c>
      <c r="AG130" t="inlineStr">
        <is>
          <t>sin_referente</t>
        </is>
      </c>
      <c r="AH130" t="inlineStr">
        <is>
          <t>sin_referente</t>
        </is>
      </c>
    </row>
    <row r="131">
      <c r="A131" t="inlineStr">
        <is>
          <t>Capacitancia y condensadores</t>
        </is>
      </c>
      <c r="B131" t="inlineStr">
        <is>
          <t>solo_especializacion</t>
        </is>
      </c>
      <c r="C131" t="n">
        <v>9</v>
      </c>
      <c r="D131" t="n">
        <v>9</v>
      </c>
      <c r="F131" t="n">
        <v>10.5</v>
      </c>
      <c r="O131" t="n">
        <v>1</v>
      </c>
      <c r="X131" t="n">
        <v>1</v>
      </c>
      <c r="Y131" t="n">
        <v>1</v>
      </c>
      <c r="AA131" t="n">
        <v>1</v>
      </c>
      <c r="AB131" t="n">
        <v>1</v>
      </c>
      <c r="AD131" t="n">
        <v>1</v>
      </c>
      <c r="AF131" t="n">
        <v>11</v>
      </c>
      <c r="AG131" t="inlineStr">
        <is>
          <t>solo_especializacion</t>
        </is>
      </c>
      <c r="AH131" t="inlineStr">
        <is>
          <t>solo_especializacion</t>
        </is>
      </c>
    </row>
    <row r="132">
      <c r="A132" t="inlineStr">
        <is>
          <t>Cuantización de la energía</t>
        </is>
      </c>
      <c r="B132" t="inlineStr">
        <is>
          <t>solo_especializacion</t>
        </is>
      </c>
      <c r="C132" t="n">
        <v>9</v>
      </c>
      <c r="D132" t="n">
        <v>9</v>
      </c>
      <c r="M132" t="n">
        <v>9.5</v>
      </c>
      <c r="V132" t="n">
        <v>1</v>
      </c>
      <c r="W132" t="n">
        <v>1</v>
      </c>
      <c r="X132" t="n">
        <v>1</v>
      </c>
      <c r="Y132" t="n">
        <v>1</v>
      </c>
      <c r="Z132" t="n">
        <v>1</v>
      </c>
      <c r="AA132" t="n">
        <v>1</v>
      </c>
      <c r="AB132" t="n">
        <v>1</v>
      </c>
      <c r="AC132" t="n">
        <v>1</v>
      </c>
      <c r="AD132" t="n">
        <v>1</v>
      </c>
      <c r="AE132" t="n">
        <v>1</v>
      </c>
      <c r="AF132" t="n">
        <v>11</v>
      </c>
      <c r="AG132" t="inlineStr">
        <is>
          <t>solo_especializacion</t>
        </is>
      </c>
      <c r="AH132" t="inlineStr">
        <is>
          <t>solo_especializacion</t>
        </is>
      </c>
    </row>
    <row r="133">
      <c r="A133" t="inlineStr">
        <is>
          <t>Defecto de masa y energía de enlace nuclear</t>
        </is>
      </c>
      <c r="B133" t="inlineStr">
        <is>
          <t>solo_especializacion</t>
        </is>
      </c>
      <c r="C133" t="n">
        <v>11</v>
      </c>
      <c r="D133" t="n">
        <v>11</v>
      </c>
      <c r="F133" t="n">
        <v>8</v>
      </c>
      <c r="J133" t="n">
        <v>9</v>
      </c>
      <c r="L133" t="n">
        <v>11</v>
      </c>
      <c r="M133" t="n">
        <v>9.5</v>
      </c>
      <c r="O133" t="n">
        <v>1</v>
      </c>
      <c r="S133" t="n">
        <v>1</v>
      </c>
      <c r="U133" t="n">
        <v>1</v>
      </c>
      <c r="V133" t="n">
        <v>1</v>
      </c>
      <c r="W133" t="n">
        <v>1</v>
      </c>
      <c r="X133" t="n">
        <v>1</v>
      </c>
      <c r="Y133" t="n">
        <v>1</v>
      </c>
      <c r="Z133" t="n">
        <v>1</v>
      </c>
      <c r="AA133" t="n">
        <v>1</v>
      </c>
      <c r="AD133" t="n">
        <v>1</v>
      </c>
      <c r="AF133" t="n">
        <v>11</v>
      </c>
      <c r="AG133" t="inlineStr">
        <is>
          <t>solo_especializacion</t>
        </is>
      </c>
      <c r="AH133" t="inlineStr">
        <is>
          <t>solo_especializacion</t>
        </is>
      </c>
    </row>
    <row r="134">
      <c r="A134" t="inlineStr">
        <is>
          <t>Fuerza magnética sobre cargas en movimiento</t>
        </is>
      </c>
      <c r="B134" t="inlineStr">
        <is>
          <t>solo_especializacion</t>
        </is>
      </c>
      <c r="C134" t="n">
        <v>10</v>
      </c>
      <c r="D134" t="n">
        <v>10</v>
      </c>
      <c r="F134" t="n">
        <v>10.5</v>
      </c>
      <c r="L134" t="n">
        <v>11</v>
      </c>
      <c r="O134" t="n">
        <v>1</v>
      </c>
      <c r="U134" t="n">
        <v>1</v>
      </c>
      <c r="W134" t="n">
        <v>1</v>
      </c>
      <c r="Y134" t="n">
        <v>1</v>
      </c>
      <c r="Z134" t="n">
        <v>1</v>
      </c>
      <c r="AA134" t="n">
        <v>1</v>
      </c>
      <c r="AB134" t="n">
        <v>1</v>
      </c>
      <c r="AC134" t="n">
        <v>1</v>
      </c>
      <c r="AD134" t="n">
        <v>1</v>
      </c>
      <c r="AE134" t="n">
        <v>1</v>
      </c>
      <c r="AF134" t="n">
        <v>11</v>
      </c>
      <c r="AG134" t="inlineStr">
        <is>
          <t>solo_especializacion</t>
        </is>
      </c>
      <c r="AH134" t="inlineStr">
        <is>
          <t>solo_especializacion</t>
        </is>
      </c>
    </row>
    <row r="135">
      <c r="A135" t="inlineStr">
        <is>
          <t>Fuerza electromotriz y leyes de Kirchhoff</t>
        </is>
      </c>
      <c r="B135" t="inlineStr">
        <is>
          <t>solo_especializacion</t>
        </is>
      </c>
      <c r="C135" t="n">
        <v>11</v>
      </c>
      <c r="D135" t="n">
        <v>11</v>
      </c>
      <c r="F135" t="n">
        <v>10.5</v>
      </c>
      <c r="L135" t="n">
        <v>9.5</v>
      </c>
      <c r="O135" t="n">
        <v>1</v>
      </c>
      <c r="U135" t="n">
        <v>1</v>
      </c>
      <c r="W135" t="n">
        <v>1</v>
      </c>
      <c r="Y135" t="n">
        <v>1</v>
      </c>
      <c r="Z135" t="n">
        <v>1</v>
      </c>
      <c r="AA135" t="n">
        <v>1</v>
      </c>
      <c r="AC135" t="n">
        <v>1</v>
      </c>
      <c r="AD135" t="n">
        <v>1</v>
      </c>
      <c r="AE135" t="n">
        <v>1</v>
      </c>
      <c r="AF135" t="n">
        <v>11</v>
      </c>
      <c r="AG135" t="inlineStr">
        <is>
          <t>solo_especializacion</t>
        </is>
      </c>
      <c r="AH135" t="inlineStr">
        <is>
          <t>solo_especializacion</t>
        </is>
      </c>
    </row>
    <row r="136">
      <c r="A136" t="inlineStr">
        <is>
          <t>Modelo estándar de partículas</t>
        </is>
      </c>
      <c r="B136" t="inlineStr">
        <is>
          <t>solo_especializacion</t>
        </is>
      </c>
      <c r="C136" t="n">
        <v>10</v>
      </c>
      <c r="D136" t="n">
        <v>10</v>
      </c>
      <c r="M136" t="n">
        <v>9.5</v>
      </c>
      <c r="V136" t="n">
        <v>1</v>
      </c>
      <c r="W136" t="n">
        <v>1</v>
      </c>
      <c r="X136" t="n">
        <v>1</v>
      </c>
      <c r="Z136" t="n">
        <v>1</v>
      </c>
      <c r="AA136" t="n">
        <v>1</v>
      </c>
      <c r="AC136" t="n">
        <v>1</v>
      </c>
      <c r="AD136" t="n">
        <v>1</v>
      </c>
      <c r="AF136" t="n">
        <v>11</v>
      </c>
      <c r="AG136" t="inlineStr">
        <is>
          <t>solo_especializacion</t>
        </is>
      </c>
      <c r="AH136" t="inlineStr">
        <is>
          <t>solo_especializacion</t>
        </is>
      </c>
    </row>
    <row r="137">
      <c r="A137" t="inlineStr">
        <is>
          <t>Polarización de la luz</t>
        </is>
      </c>
      <c r="B137" t="inlineStr">
        <is>
          <t>solo_especializacion</t>
        </is>
      </c>
      <c r="C137" t="n">
        <v>10</v>
      </c>
      <c r="D137" t="n">
        <v>10</v>
      </c>
      <c r="F137" t="n">
        <v>10.5</v>
      </c>
      <c r="O137" t="n">
        <v>1</v>
      </c>
      <c r="W137" t="n">
        <v>1</v>
      </c>
      <c r="Y137" t="n">
        <v>1</v>
      </c>
      <c r="Z137" t="n">
        <v>1</v>
      </c>
      <c r="AB137" t="n">
        <v>1</v>
      </c>
      <c r="AC137" t="n">
        <v>1</v>
      </c>
      <c r="AD137" t="n">
        <v>1</v>
      </c>
      <c r="AF137" t="n">
        <v>10</v>
      </c>
      <c r="AG137" t="inlineStr">
        <is>
          <t>solo_especializacion</t>
        </is>
      </c>
      <c r="AH137" t="inlineStr">
        <is>
          <t>solo_especializacion</t>
        </is>
      </c>
    </row>
    <row r="138">
      <c r="A138" t="inlineStr">
        <is>
          <t>Relatividad especial</t>
        </is>
      </c>
      <c r="B138" t="inlineStr">
        <is>
          <t>solo_especializacion</t>
        </is>
      </c>
      <c r="C138" t="n">
        <v>11</v>
      </c>
      <c r="D138" t="n">
        <v>11</v>
      </c>
      <c r="W138" t="n">
        <v>1</v>
      </c>
      <c r="X138" t="n">
        <v>1</v>
      </c>
      <c r="Z138" t="n">
        <v>1</v>
      </c>
      <c r="AB138" t="n">
        <v>1</v>
      </c>
      <c r="AC138" t="n">
        <v>1</v>
      </c>
      <c r="AF138" t="n">
        <v>11</v>
      </c>
      <c r="AG138" t="inlineStr">
        <is>
          <t>solo_especializacion</t>
        </is>
      </c>
      <c r="AH138" t="inlineStr">
        <is>
          <t>solo_especializacion</t>
        </is>
      </c>
    </row>
    <row r="139">
      <c r="A139" t="inlineStr">
        <is>
          <t>Procesos termodinámicos</t>
        </is>
      </c>
      <c r="B139" t="inlineStr">
        <is>
          <t>solo_especializacion</t>
        </is>
      </c>
      <c r="C139" t="n">
        <v>9</v>
      </c>
      <c r="D139" t="n">
        <v>9</v>
      </c>
      <c r="F139" t="n">
        <v>10.5</v>
      </c>
      <c r="O139" t="n">
        <v>1</v>
      </c>
      <c r="X139" t="n">
        <v>1</v>
      </c>
      <c r="AA139" t="n">
        <v>1</v>
      </c>
      <c r="AB139" t="n">
        <v>1</v>
      </c>
      <c r="AD139" t="n">
        <v>1</v>
      </c>
      <c r="AF139" t="n">
        <v>9</v>
      </c>
      <c r="AG139" t="inlineStr">
        <is>
          <t>solo_especializacion</t>
        </is>
      </c>
      <c r="AH139" t="inlineStr">
        <is>
          <t>solo_especializacion</t>
        </is>
      </c>
    </row>
    <row r="140">
      <c r="A140" t="inlineStr">
        <is>
          <t>Radiación térmica y cuerpo negro</t>
        </is>
      </c>
      <c r="B140" t="inlineStr">
        <is>
          <t>solo_especializacion</t>
        </is>
      </c>
      <c r="C140" t="n">
        <v>10</v>
      </c>
      <c r="D140" t="n">
        <v>10</v>
      </c>
      <c r="J140" t="n">
        <v>7</v>
      </c>
      <c r="L140" t="n">
        <v>9.5</v>
      </c>
      <c r="U140" t="n">
        <v>1</v>
      </c>
      <c r="W140" t="n">
        <v>1</v>
      </c>
      <c r="X140" t="n">
        <v>1</v>
      </c>
      <c r="Y140" t="n">
        <v>1</v>
      </c>
      <c r="Z140" t="n">
        <v>1</v>
      </c>
      <c r="AD140" t="n">
        <v>1</v>
      </c>
      <c r="AE140" t="n">
        <v>1</v>
      </c>
      <c r="AF140" t="n">
        <v>10</v>
      </c>
      <c r="AG140" t="inlineStr">
        <is>
          <t>solo_especializacion</t>
        </is>
      </c>
      <c r="AH140" t="inlineStr">
        <is>
          <t>solo_especializacion</t>
        </is>
      </c>
    </row>
    <row r="141">
      <c r="A141" t="inlineStr">
        <is>
          <t>Reflexión interna total</t>
        </is>
      </c>
      <c r="B141" t="inlineStr">
        <is>
          <t>solo_especializacion</t>
        </is>
      </c>
      <c r="C141" t="n">
        <v>10</v>
      </c>
      <c r="D141" t="n">
        <v>10</v>
      </c>
      <c r="K141" t="n">
        <v>9</v>
      </c>
      <c r="T141" t="n">
        <v>1</v>
      </c>
      <c r="X141" t="n">
        <v>1</v>
      </c>
      <c r="Z141" t="n">
        <v>1</v>
      </c>
      <c r="AD141" t="n">
        <v>1</v>
      </c>
      <c r="AE141" t="n">
        <v>1</v>
      </c>
      <c r="AF141" t="n">
        <v>10</v>
      </c>
      <c r="AG141" t="inlineStr">
        <is>
          <t>solo_especializacion</t>
        </is>
      </c>
      <c r="AH141" t="inlineStr">
        <is>
          <t>solo_especializacion</t>
        </is>
      </c>
    </row>
    <row r="142">
      <c r="A142" t="inlineStr">
        <is>
          <t>Viscosidad y régimen de flujo</t>
        </is>
      </c>
      <c r="B142" t="inlineStr">
        <is>
          <t>solo_especializacion</t>
        </is>
      </c>
      <c r="C142" t="n">
        <v>9</v>
      </c>
      <c r="D142" t="n">
        <v>9</v>
      </c>
      <c r="X142" t="n">
        <v>1</v>
      </c>
      <c r="Z142" t="n">
        <v>1</v>
      </c>
      <c r="AD142" t="n">
        <v>1</v>
      </c>
      <c r="AF142" t="n">
        <v>9</v>
      </c>
      <c r="AG142" t="inlineStr">
        <is>
          <t>solo_especializacion</t>
        </is>
      </c>
      <c r="AH142" t="inlineStr">
        <is>
          <t>solo_especializacion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9-11</t>
        </is>
      </c>
      <c r="H1" s="1" t="inlineStr">
        <is>
          <t>Paises con nucleo en 9-11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SV",""),IF(G2="",IF(H2&gt;=5,"no retomado en 9-11","previo"),IF(B2&lt;9,"retomado",IF(AND(C2&lt;=1,E2&gt;=3),"solo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SV",""),IF(G3="",IF(H3&gt;=5,"no retomado en 9-11","previo"),IF(B3&lt;9,"retomado",IF(AND(C3&lt;=1,E3&gt;=3),"solo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SV",""),IF(G4="",IF(H4&gt;=5,"no retomado en 9-11","previo"),IF(B4&lt;9,"retomado",IF(AND(C4&lt;=1,E4&gt;=3),"solo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SV",""),IF(G5="",IF(H5&gt;=5,"no retomado en 9-11","previo"),IF(B5&lt;9,"retomado",IF(AND(C5&lt;=1,E5&gt;=3),"solo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SV",""),IF(G6="",IF(H6&gt;=5,"no retomado en 9-11","previo"),IF(B6&lt;9,"retomado",IF(AND(C6&lt;=1,E6&gt;=3),"solo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SV",""),IF(G7="",IF(H7&gt;=5,"no retomado en 9-11","previo"),IF(B7&lt;9,"retomado",IF(AND(C7&lt;=1,E7&gt;=3),"solo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SV",""),IF(G8="",IF(H8&gt;=5,"no retomado en 9-11","previo"),IF(B8&lt;9,"retomado",IF(AND(C8&lt;=1,E8&gt;=3),"solo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SV",""),IF(G9="",IF(H9&gt;=5,"no retomado en 9-11","previo"),IF(B9&lt;9,"retomado",IF(AND(C9&lt;=1,E9&gt;=3),"solo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SV",""),IF(G10="",IF(H10&gt;=5,"no retomado en 9-11","previo"),IF(B10&lt;9,"retomado",IF(AND(C10&lt;=1,E10&gt;=3),"solo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SV",""),IF(G11="",IF(H11&gt;=5,"no retomado en 9-11","previo"),IF(B11&lt;9,"retomado",IF(AND(C11&lt;=1,E11&gt;=3),"solo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SV",""),IF(G12="",IF(H12&gt;=5,"no retomado en 9-11","previo"),IF(B12&lt;9,"retomado",IF(AND(C12&lt;=1,E12&gt;=3),"solo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SV",""),IF(G13="",IF(H13&gt;=5,"no retomado en 9-11","previo"),IF(B13&lt;9,"retomado",IF(AND(C13&lt;=1,E13&gt;=3),"solo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SV",""),IF(G14="",IF(H14&gt;=5,"no retomado en 9-11","previo"),IF(B14&lt;9,"retomado",IF(AND(C14&lt;=1,E14&gt;=3),"solo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SV",""),IF(G15="",IF(H15&gt;=5,"no retomado en 9-11","previo"),IF(B15&lt;9,"retomado",IF(AND(C15&lt;=1,E15&gt;=3),"solo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SV",""),IF(G16="",IF(H16&gt;=5,"no retomado en 9-11","previo"),IF(B16&lt;9,"retomado",IF(AND(C16&lt;=1,E16&gt;=3),"solo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SV",""),IF(G17="",IF(H17&gt;=5,"no retomado en 9-11","previo"),IF(B17&lt;9,"retomado",IF(AND(C17&lt;=1,E17&gt;=3),"solo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SV",""),IF(G18="",IF(H18&gt;=5,"no retomado en 9-11","previo"),IF(B18&lt;9,"retomado",IF(AND(C18&lt;=1,E18&gt;=3),"solo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SV",""),IF(G19="",IF(H19&gt;=5,"no retomado en 9-11","previo"),IF(B19&lt;9,"retomado",IF(AND(C19&lt;=1,E19&gt;=3),"solo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SV",""),IF(G20="",IF(H20&gt;=5,"no retomado en 9-11","previo"),IF(B20&lt;9,"retomado",IF(AND(C20&lt;=1,E20&gt;=3),"solo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SV",""),IF(G21="",IF(H21&gt;=5,"no retomado en 9-11","previo"),IF(B21&lt;9,"retomado",IF(AND(C21&lt;=1,E21&gt;=3),"solo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SV",""),IF(G22="",IF(H22&gt;=5,"no retomado en 9-11","previo"),IF(B22&lt;9,"retomado",IF(AND(C22&lt;=1,E22&gt;=3),"solo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SV",""),IF(G23="",IF(H23&gt;=5,"no retomado en 9-11","previo"),IF(B23&lt;9,"retomado",IF(AND(C23&lt;=1,E23&gt;=3),"solo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SV",""),IF(G24="",IF(H24&gt;=5,"no retomado en 9-11","previo"),IF(B24&lt;9,"retomado",IF(AND(C24&lt;=1,E24&gt;=3),"solo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SV",""),IF(G25="",IF(H25&gt;=5,"no retomado en 9-11","previo"),IF(B25&lt;9,"retomado",IF(AND(C25&lt;=1,E25&gt;=3),"solo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SV",""),IF(G26="",IF(H26&gt;=5,"no retomado en 9-11","previo"),IF(B26&lt;9,"retomado",IF(AND(C26&lt;=1,E26&gt;=3),"solo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SV",""),IF(G27="",IF(H27&gt;=5,"no retomado en 9-11","previo"),IF(B27&lt;9,"retomado",IF(AND(C27&lt;=1,E27&gt;=3),"solo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SV",""),IF(G28="",IF(H28&gt;=5,"no retomado en 9-11","previo"),IF(B28&lt;9,"retomado",IF(AND(C28&lt;=1,E28&gt;=3),"solo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SV",""),IF(G29="",IF(H29&gt;=5,"no retomado en 9-11","previo"),IF(B29&lt;9,"retomado",IF(AND(C29&lt;=1,E29&gt;=3),"solo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SV",""),IF(G30="",IF(H30&gt;=5,"no retomado en 9-11","previo"),IF(B30&lt;9,"retomado",IF(AND(C30&lt;=1,E30&gt;=3),"solo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SV",""),IF(G31="",IF(H31&gt;=5,"no retomado en 9-11","previo"),IF(B31&lt;9,"retomado",IF(AND(C31&lt;=1,E31&gt;=3),"solo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SV",""),IF(G32="",IF(H32&gt;=5,"no retomado en 9-11","previo"),IF(B32&lt;9,"retomado",IF(AND(C32&lt;=1,E32&gt;=3),"solo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SV",""),IF(G33="",IF(H33&gt;=5,"no retomado en 9-11","previo"),IF(B33&lt;9,"retomado",IF(AND(C33&lt;=1,E33&gt;=3),"solo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SV",""),IF(G34="",IF(H34&gt;=5,"no retomado en 9-11","previo"),IF(B34&lt;9,"retomado",IF(AND(C34&lt;=1,E34&gt;=3),"solo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SV",""),IF(G35="",IF(H35&gt;=5,"no retomado en 9-11","previo"),IF(B35&lt;9,"retomado",IF(AND(C35&lt;=1,E35&gt;=3),"solo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SV",""),IF(G36="",IF(H36&gt;=5,"no retomado en 9-11","previo"),IF(B36&lt;9,"retomado",IF(AND(C36&lt;=1,E36&gt;=3),"solo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SV",""),IF(G37="",IF(H37&gt;=5,"no retomado en 9-11","previo"),IF(B37&lt;9,"retomado",IF(AND(C37&lt;=1,E37&gt;=3),"solo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SV",""),IF(G38="",IF(H38&gt;=5,"no retomado en 9-11","previo"),IF(B38&lt;9,"retomado",IF(AND(C38&lt;=1,E38&gt;=3),"solo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SV",""),IF(G39="",IF(H39&gt;=5,"no retomado en 9-11","previo"),IF(B39&lt;9,"retomado",IF(AND(C39&lt;=1,E39&gt;=3),"solo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SV",""),IF(G40="",IF(H40&gt;=5,"no retomado en 9-11","previo"),IF(B40&lt;9,"retomado",IF(AND(C40&lt;=1,E40&gt;=3),"solo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SV",""),IF(G41="",IF(H41&gt;=5,"no retomado en 9-11","previo"),IF(B41&lt;9,"retomado",IF(AND(C41&lt;=1,E41&gt;=3),"solo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SV",""),IF(G42="",IF(H42&gt;=5,"no retomado en 9-11","previo"),IF(B42&lt;9,"retomado",IF(AND(C42&lt;=1,E42&gt;=3),"solo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SV",""),IF(G43="",IF(H43&gt;=5,"no retomado en 9-11","previo"),IF(B43&lt;9,"retomado",IF(AND(C43&lt;=1,E43&gt;=3),"solo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SV",""),IF(G44="",IF(H44&gt;=5,"no retomado en 9-11","previo"),IF(B44&lt;9,"retomado",IF(AND(C44&lt;=1,E44&gt;=3),"solo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SV",""),IF(G45="",IF(H45&gt;=5,"no retomado en 9-11","previo"),IF(B45&lt;9,"retomado",IF(AND(C45&lt;=1,E45&gt;=3),"solo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SV",""),IF(G46="",IF(H46&gt;=5,"no retomado en 9-11","previo"),IF(B46&lt;9,"retomado",IF(AND(C46&lt;=1,E46&gt;=3),"solo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SV",""),IF(G47="",IF(H47&gt;=5,"no retomado en 9-11","previo"),IF(B47&lt;9,"retomado",IF(AND(C47&lt;=1,E47&gt;=3),"solo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SV",""),IF(G48="",IF(H48&gt;=5,"no retomado en 9-11","previo"),IF(B48&lt;9,"retomado",IF(AND(C48&lt;=1,E48&gt;=3),"solo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SV",""),IF(G49="",IF(H49&gt;=5,"no retomado en 9-11","previo"),IF(B49&lt;9,"retomado",IF(AND(C49&lt;=1,E49&gt;=3),"solo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SV",""),IF(G50="",IF(H50&gt;=5,"no retomado en 9-11","previo"),IF(B50&lt;9,"retomado",IF(AND(C50&lt;=1,E50&gt;=3),"solo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SV",""),IF(G51="",IF(H51&gt;=5,"no retomado en 9-11","previo"),IF(B51&lt;9,"retomado",IF(AND(C51&lt;=1,E51&gt;=3),"solo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SV",""),IF(G52="",IF(H52&gt;=5,"no retomado en 9-11","previo"),IF(B52&lt;9,"retomado",IF(AND(C52&lt;=1,E52&gt;=3),"solo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SV",""),IF(G53="",IF(H53&gt;=5,"no retomado en 9-11","previo"),IF(B53&lt;9,"retomado",IF(AND(C53&lt;=1,E53&gt;=3),"solo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SV",""),IF(G54="",IF(H54&gt;=5,"no retomado en 9-11","previo"),IF(B54&lt;9,"retomado",IF(AND(C54&lt;=1,E54&gt;=3),"solo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SV",""),IF(G55="",IF(H55&gt;=5,"no retomado en 9-11","previo"),IF(B55&lt;9,"retomado",IF(AND(C55&lt;=1,E55&gt;=3),"solo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SV",""),IF(G56="",IF(H56&gt;=5,"no retomado en 9-11","previo"),IF(B56&lt;9,"retomado",IF(AND(C56&lt;=1,E56&gt;=3),"solo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SV",""),IF(G57="",IF(H57&gt;=5,"no retomado en 9-11","previo"),IF(B57&lt;9,"retomado",IF(AND(C57&lt;=1,E57&gt;=3),"solo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SV",""),IF(G58="",IF(H58&gt;=5,"no retomado en 9-11","previo"),IF(B58&lt;9,"retomado",IF(AND(C58&lt;=1,E58&gt;=3),"solo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SV",""),IF(G59="",IF(H59&gt;=5,"no retomado en 9-11","previo"),IF(B59&lt;9,"retomado",IF(AND(C59&lt;=1,E59&gt;=3),"solo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SV",""),IF(G60="",IF(H60&gt;=5,"no retomado en 9-11","previo"),IF(B60&lt;9,"retomado",IF(AND(C60&lt;=1,E60&gt;=3),"solo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SV",""),IF(G61="",IF(H61&gt;=5,"no retomado en 9-11","previo"),IF(B61&lt;9,"retomado",IF(AND(C61&lt;=1,E61&gt;=3),"solo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SV",""),IF(G62="",IF(H62&gt;=5,"no retomado en 9-11","previo"),IF(B62&lt;9,"retomado",IF(AND(C62&lt;=1,E62&gt;=3),"solo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SV",""),IF(G63="",IF(H63&gt;=5,"no retomado en 9-11","previo"),IF(B63&lt;9,"retomado",IF(AND(C63&lt;=1,E63&gt;=3),"solo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SV",""),IF(G64="",IF(H64&gt;=5,"no retomado en 9-11","previo"),IF(B64&lt;9,"retomado",IF(AND(C64&lt;=1,E64&gt;=3),"solo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SV",""),IF(G65="",IF(H65&gt;=5,"no retomado en 9-11","previo"),IF(B65&lt;9,"retomado",IF(AND(C65&lt;=1,E65&gt;=3),"solo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SV",""),IF(G66="",IF(H66&gt;=5,"no retomado en 9-11","previo"),IF(B66&lt;9,"retomado",IF(AND(C66&lt;=1,E66&gt;=3),"solo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SV",""),IF(G67="",IF(H67&gt;=5,"no retomado en 9-11","previo"),IF(B67&lt;9,"retomado",IF(AND(C67&lt;=1,E67&gt;=3),"solo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SV",""),IF(G68="",IF(H68&gt;=5,"no retomado en 9-11","previo"),IF(B68&lt;9,"retomado",IF(AND(C68&lt;=1,E68&gt;=3),"solo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SV",""),IF(G69="",IF(H69&gt;=5,"no retomado en 9-11","previo"),IF(B69&lt;9,"retomado",IF(AND(C69&lt;=1,E69&gt;=3),"solo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SV",""),IF(G70="",IF(H70&gt;=5,"no retomado en 9-11","previo"),IF(B70&lt;9,"retomado",IF(AND(C70&lt;=1,E70&gt;=3),"solo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SV",""),IF(G71="",IF(H71&gt;=5,"no retomado en 9-11","previo"),IF(B71&lt;9,"retomado",IF(AND(C71&lt;=1,E71&gt;=3),"solo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SV",""),IF(G72="",IF(H72&gt;=5,"no retomado en 9-11","previo"),IF(B72&lt;9,"retomado",IF(AND(C72&lt;=1,E72&gt;=3),"solo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SV",""),IF(G73="",IF(H73&gt;=5,"no retomado en 9-11","previo"),IF(B73&lt;9,"retomado",IF(AND(C73&lt;=1,E73&gt;=3),"solo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SV",""),IF(G74="",IF(H74&gt;=5,"no retomado en 9-11","previo"),IF(B74&lt;9,"retomado",IF(AND(C74&lt;=1,E74&gt;=3),"solo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SV",""),IF(G75="",IF(H75&gt;=5,"no retomado en 9-11","previo"),IF(B75&lt;9,"retomado",IF(AND(C75&lt;=1,E75&gt;=3),"solo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SV",""),IF(G76="",IF(H76&gt;=5,"no retomado en 9-11","previo"),IF(B76&lt;9,"retomado",IF(AND(C76&lt;=1,E76&gt;=3),"solo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SV",""),IF(G77="",IF(H77&gt;=5,"no retomado en 9-11","previo"),IF(B77&lt;9,"retomado",IF(AND(C77&lt;=1,E77&gt;=3),"solo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SV",""),IF(G78="",IF(H78&gt;=5,"no retomado en 9-11","previo"),IF(B78&lt;9,"retomado",IF(AND(C78&lt;=1,E78&gt;=3),"solo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SV",""),IF(G79="",IF(H79&gt;=5,"no retomado en 9-11","previo"),IF(B79&lt;9,"retomado",IF(AND(C79&lt;=1,E79&gt;=3),"solo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SV",""),IF(G80="",IF(H80&gt;=5,"no retomado en 9-11","previo"),IF(B80&lt;9,"retomado",IF(AND(C80&lt;=1,E80&gt;=3),"solo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SV",""),IF(G81="",IF(H81&gt;=5,"no retomado en 9-11","previo"),IF(B81&lt;9,"retomado",IF(AND(C81&lt;=1,E81&gt;=3),"solo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SV",""),IF(G82="",IF(H82&gt;=5,"no retomado en 9-11","previo"),IF(B82&lt;9,"retomado",IF(AND(C82&lt;=1,E82&gt;=3),"solo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SV",""),IF(G83="",IF(H83&gt;=5,"no retomado en 9-11","previo"),IF(B83&lt;9,"retomado",IF(AND(C83&lt;=1,E83&gt;=3),"solo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SV",""),IF(G84="",IF(H84&gt;=5,"no retomado en 9-11","previo"),IF(B84&lt;9,"retomado",IF(AND(C84&lt;=1,E84&gt;=3),"solo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SV",""),IF(G85="",IF(H85&gt;=5,"no retomado en 9-11","previo"),IF(B85&lt;9,"retomado",IF(AND(C85&lt;=1,E85&gt;=3),"solo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SV",""),IF(G86="",IF(H86&gt;=5,"no retomado en 9-11","previo"),IF(B86&lt;9,"retomado",IF(AND(C86&lt;=1,E86&gt;=3),"solo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SV",""),IF(G87="",IF(H87&gt;=5,"no retomado en 9-11","previo"),IF(B87&lt;9,"retomado",IF(AND(C87&lt;=1,E87&gt;=3),"solo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SV",""),IF(G88="",IF(H88&gt;=5,"no retomado en 9-11","previo"),IF(B88&lt;9,"retomado",IF(AND(C88&lt;=1,E88&gt;=3),"solo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SV",""),IF(G89="",IF(H89&gt;=5,"no retomado en 9-11","previo"),IF(B89&lt;9,"retomado",IF(AND(C89&lt;=1,E89&gt;=3),"solo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SV",""),IF(G90="",IF(H90&gt;=5,"no retomado en 9-11","previo"),IF(B90&lt;9,"retomado",IF(AND(C90&lt;=1,E90&gt;=3),"solo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SV",""),IF(G91="",IF(H91&gt;=5,"no retomado en 9-11","previo"),IF(B91&lt;9,"retomado",IF(AND(C91&lt;=1,E91&gt;=3),"solo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SV",""),IF(G92="",IF(H92&gt;=5,"no retomado en 9-11","previo"),IF(B92&lt;9,"retomado",IF(AND(C92&lt;=1,E92&gt;=3),"solo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SV",""),IF(G93="",IF(H93&gt;=5,"no retomado en 9-11","previo"),IF(B93&lt;9,"retomado",IF(AND(C93&lt;=1,E93&gt;=3),"solo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SV",""),IF(G94="",IF(H94&gt;=5,"no retomado en 9-11","previo"),IF(B94&lt;9,"retomado",IF(AND(C94&lt;=1,E94&gt;=3),"solo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SV",""),IF(G95="",IF(H95&gt;=5,"no retomado en 9-11","previo"),IF(B95&lt;9,"retomado",IF(AND(C95&lt;=1,E95&gt;=3),"solo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SV",""),IF(G96="",IF(H96&gt;=5,"no retomado en 9-11","previo"),IF(B96&lt;9,"retomado",IF(AND(C96&lt;=1,E96&gt;=3),"solo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SV",""),IF(G97="",IF(H97&gt;=5,"no retomado en 9-11","previo"),IF(B97&lt;9,"retomado",IF(AND(C97&lt;=1,E97&gt;=3),"solo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SV",""),IF(G98="",IF(H98&gt;=5,"no retomado en 9-11","previo"),IF(B98&lt;9,"retomado",IF(AND(C98&lt;=1,E98&gt;=3),"solo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SV",""),IF(G99="",IF(H99&gt;=5,"no retomado en 9-11","previo"),IF(B99&lt;9,"retomado",IF(AND(C99&lt;=1,E99&gt;=3),"solo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SV",""),IF(G100="",IF(H100&gt;=5,"no retomado en 9-11","previo"),IF(B100&lt;9,"retomado",IF(AND(C100&lt;=1,E100&gt;=3),"solo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SV",""),IF(G101="",IF(H101&gt;=5,"no retomado en 9-11","previo"),IF(B101&lt;9,"retomado",IF(AND(C101&lt;=1,E101&gt;=3),"solo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SV",""),IF(G102="",IF(H102&gt;=5,"no retomado en 9-11","previo"),IF(B102&lt;9,"retomado",IF(AND(C102&lt;=1,E102&gt;=3),"solo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SV",""),IF(G103="",IF(H103&gt;=5,"no retomado en 9-11","previo"),IF(B103&lt;9,"retomado",IF(AND(C103&lt;=1,E103&gt;=3),"solo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SV",""),IF(G104="",IF(H104&gt;=5,"no retomado en 9-11","previo"),IF(B104&lt;9,"retomado",IF(AND(C104&lt;=1,E104&gt;=3),"solo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SV",""),IF(G105="",IF(H105&gt;=5,"no retomado en 9-11","previo"),IF(B105&lt;9,"retomado",IF(AND(C105&lt;=1,E105&gt;=3),"solo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SV",""),IF(G106="",IF(H106&gt;=5,"no retomado en 9-11","previo"),IF(B106&lt;9,"retomado",IF(AND(C106&lt;=1,E106&gt;=3),"solo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SV",""),IF(G107="",IF(H107&gt;=5,"no retomado en 9-11","previo"),IF(B107&lt;9,"retomado",IF(AND(C107&lt;=1,E107&gt;=3),"solo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SV",""),IF(G108="",IF(H108&gt;=5,"no retomado en 9-11","previo"),IF(B108&lt;9,"retomado",IF(AND(C108&lt;=1,E108&gt;=3),"solo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SV",""),IF(G109="",IF(H109&gt;=5,"no retomado en 9-11","previo"),IF(B109&lt;9,"retomado",IF(AND(C109&lt;=1,E109&gt;=3),"solo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SV",""),IF(G110="",IF(H110&gt;=5,"no retomado en 9-11","previo"),IF(B110&lt;9,"retomado",IF(AND(C110&lt;=1,E110&gt;=3),"solo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SV",""),IF(G111="",IF(H111&gt;=5,"no retomado en 9-11","previo"),IF(B111&lt;9,"retomado",IF(AND(C111&lt;=1,E111&gt;=3),"solo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SV",""),IF(G112="",IF(H112&gt;=5,"no retomado en 9-11","previo"),IF(B112&lt;9,"retomado",IF(AND(C112&lt;=1,E112&gt;=3),"solo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SV",""),IF(G113="",IF(H113&gt;=5,"no retomado en 9-11","previo"),IF(B113&lt;9,"retomado",IF(AND(C113&lt;=1,E113&gt;=3),"solo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SV",""),IF(G114="",IF(H114&gt;=5,"no retomado en 9-11","previo"),IF(B114&lt;9,"retomado",IF(AND(C114&lt;=1,E114&gt;=3),"solo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SV",""),IF(G115="",IF(H115&gt;=5,"no retomado en 9-11","previo"),IF(B115&lt;9,"retomado",IF(AND(C115&lt;=1,E115&gt;=3),"solo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SV",""),IF(G116="",IF(H116&gt;=5,"no retomado en 9-11","previo"),IF(B116&lt;9,"retomado",IF(AND(C116&lt;=1,E116&gt;=3),"solo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SV",""),IF(G117="",IF(H117&gt;=5,"no retomado en 9-11","previo"),IF(B117&lt;9,"retomado",IF(AND(C117&lt;=1,E117&gt;=3),"solo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SV",""),IF(G118="",IF(H118&gt;=5,"no retomado en 9-11","previo"),IF(B118&lt;9,"retomado",IF(AND(C118&lt;=1,E118&gt;=3),"solo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SV",""),IF(G119="",IF(H119&gt;=5,"no retomado en 9-11","previo"),IF(B119&lt;9,"retomado",IF(AND(C119&lt;=1,E119&gt;=3),"solo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SV",""),IF(G120="",IF(H120&gt;=5,"no retomado en 9-11","previo"),IF(B120&lt;9,"retomado",IF(AND(C120&lt;=1,E120&gt;=3),"solo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SV",""),IF(G121="",IF(H121&gt;=5,"no retomado en 9-11","previo"),IF(B121&lt;9,"retomado",IF(AND(C121&lt;=1,E121&gt;=3),"solo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SV",""),IF(G122="",IF(H122&gt;=5,"no retomado en 9-11","previo"),IF(B122&lt;9,"retomado",IF(AND(C122&lt;=1,E122&gt;=3),"solo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SV",""),IF(G123="",IF(H123&gt;=5,"no retomado en 9-11","previo"),IF(B123&lt;9,"retomado",IF(AND(C123&lt;=1,E123&gt;=3),"solo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SV",""),IF(G124="",IF(H124&gt;=5,"no retomado en 9-11","previo"),IF(B124&lt;9,"retomado",IF(AND(C124&lt;=1,E124&gt;=3),"solo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SV",""),IF(G125="",IF(H125&gt;=5,"no retomado en 9-11","previo"),IF(B125&lt;9,"retomado",IF(AND(C125&lt;=1,E125&gt;=3),"solo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SV",""),IF(G126="",IF(H126&gt;=5,"no retomado en 9-11","previo"),IF(B126&lt;9,"retomado",IF(AND(C126&lt;=1,E126&gt;=3),"solo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SV",""),IF(G127="",IF(H127&gt;=5,"no retomado en 9-11","previo"),IF(B127&lt;9,"retomado",IF(AND(C127&lt;=1,E127&gt;=3),"solo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SV",""),IF(G128="",IF(H128&gt;=5,"no retomado en 9-11","previo"),IF(B128&lt;9,"retomado",IF(AND(C128&lt;=1,E128&gt;=3),"solo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SV",""),IF(G129="",IF(H129&gt;=5,"no retomado en 9-11","previo"),IF(B129&lt;9,"retomado",IF(AND(C129&lt;=1,E129&gt;=3),"solo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SV",""),IF(G130="",IF(H130&gt;=5,"no retomado en 9-11","previo"),IF(B130&lt;9,"retomado",IF(AND(C130&lt;=1,E130&gt;=3),"solo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SV",""),IF(G131="",IF(H131&gt;=5,"no retomado en 9-11","previo"),IF(B131&lt;9,"retomado",IF(AND(C131&lt;=1,E131&gt;=3),"solo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SV",""),IF(G132="",IF(H132&gt;=5,"no retomado en 9-11","previo"),IF(B132&lt;9,"retomado",IF(AND(C132&lt;=1,E132&gt;=3),"solo especializacion",IF(F132="","coherente",IF(F132&lt;=-1.5,"SV adelantado",IF(F132&gt;=2,"SV tarde","coherente")))))))</f>
        <v/>
      </c>
      <c r="J132">
        <f>Datos!B132</f>
        <v/>
      </c>
    </row>
    <row r="133">
      <c r="A133">
        <f>Datos!A133</f>
        <v/>
      </c>
      <c r="B133">
        <f>IF(Datos!C133="","",Datos!C133)</f>
        <v/>
      </c>
      <c r="C133">
        <f>COUNT(Datos!E133:M133)</f>
        <v/>
      </c>
      <c r="D133">
        <f>IF(C133=0,"",MEDIAN(Datos!E133:M133))</f>
        <v/>
      </c>
      <c r="E133">
        <f>COUNT(Datos!W133:AE133)</f>
        <v/>
      </c>
      <c r="F133">
        <f>IF(OR(B133="",D133=""),"",B133-D133)</f>
        <v/>
      </c>
      <c r="G133">
        <f>IF(Datos!D133="","",Datos!D133)</f>
        <v/>
      </c>
      <c r="H133">
        <f>COUNT(Datos!N133:V133)</f>
        <v/>
      </c>
      <c r="I133">
        <f>IF(B133="",IF(C133&gt;=5,"falta en SV",""),IF(G133="",IF(H133&gt;=5,"no retomado en 9-11","previo"),IF(B133&lt;9,"retomado",IF(AND(C133&lt;=1,E133&gt;=3),"solo especializacion",IF(F133="","coherente",IF(F133&lt;=-1.5,"SV adelantado",IF(F133&gt;=2,"SV tarde","coherente")))))))</f>
        <v/>
      </c>
      <c r="J133">
        <f>Datos!B133</f>
        <v/>
      </c>
    </row>
    <row r="134">
      <c r="A134">
        <f>Datos!A134</f>
        <v/>
      </c>
      <c r="B134">
        <f>IF(Datos!C134="","",Datos!C134)</f>
        <v/>
      </c>
      <c r="C134">
        <f>COUNT(Datos!E134:M134)</f>
        <v/>
      </c>
      <c r="D134">
        <f>IF(C134=0,"",MEDIAN(Datos!E134:M134))</f>
        <v/>
      </c>
      <c r="E134">
        <f>COUNT(Datos!W134:AE134)</f>
        <v/>
      </c>
      <c r="F134">
        <f>IF(OR(B134="",D134=""),"",B134-D134)</f>
        <v/>
      </c>
      <c r="G134">
        <f>IF(Datos!D134="","",Datos!D134)</f>
        <v/>
      </c>
      <c r="H134">
        <f>COUNT(Datos!N134:V134)</f>
        <v/>
      </c>
      <c r="I134">
        <f>IF(B134="",IF(C134&gt;=5,"falta en SV",""),IF(G134="",IF(H134&gt;=5,"no retomado en 9-11","previo"),IF(B134&lt;9,"retomado",IF(AND(C134&lt;=1,E134&gt;=3),"solo especializacion",IF(F134="","coherente",IF(F134&lt;=-1.5,"SV adelantado",IF(F134&gt;=2,"SV tarde","coherente")))))))</f>
        <v/>
      </c>
      <c r="J134">
        <f>Datos!B134</f>
        <v/>
      </c>
    </row>
    <row r="135">
      <c r="A135">
        <f>Datos!A135</f>
        <v/>
      </c>
      <c r="B135">
        <f>IF(Datos!C135="","",Datos!C135)</f>
        <v/>
      </c>
      <c r="C135">
        <f>COUNT(Datos!E135:M135)</f>
        <v/>
      </c>
      <c r="D135">
        <f>IF(C135=0,"",MEDIAN(Datos!E135:M135))</f>
        <v/>
      </c>
      <c r="E135">
        <f>COUNT(Datos!W135:AE135)</f>
        <v/>
      </c>
      <c r="F135">
        <f>IF(OR(B135="",D135=""),"",B135-D135)</f>
        <v/>
      </c>
      <c r="G135">
        <f>IF(Datos!D135="","",Datos!D135)</f>
        <v/>
      </c>
      <c r="H135">
        <f>COUNT(Datos!N135:V135)</f>
        <v/>
      </c>
      <c r="I135">
        <f>IF(B135="",IF(C135&gt;=5,"falta en SV",""),IF(G135="",IF(H135&gt;=5,"no retomado en 9-11","previo"),IF(B135&lt;9,"retomado",IF(AND(C135&lt;=1,E135&gt;=3),"solo especializacion",IF(F135="","coherente",IF(F135&lt;=-1.5,"SV adelantado",IF(F135&gt;=2,"SV tarde","coherente")))))))</f>
        <v/>
      </c>
      <c r="J135">
        <f>Datos!B135</f>
        <v/>
      </c>
    </row>
    <row r="136">
      <c r="A136">
        <f>Datos!A136</f>
        <v/>
      </c>
      <c r="B136">
        <f>IF(Datos!C136="","",Datos!C136)</f>
        <v/>
      </c>
      <c r="C136">
        <f>COUNT(Datos!E136:M136)</f>
        <v/>
      </c>
      <c r="D136">
        <f>IF(C136=0,"",MEDIAN(Datos!E136:M136))</f>
        <v/>
      </c>
      <c r="E136">
        <f>COUNT(Datos!W136:AE136)</f>
        <v/>
      </c>
      <c r="F136">
        <f>IF(OR(B136="",D136=""),"",B136-D136)</f>
        <v/>
      </c>
      <c r="G136">
        <f>IF(Datos!D136="","",Datos!D136)</f>
        <v/>
      </c>
      <c r="H136">
        <f>COUNT(Datos!N136:V136)</f>
        <v/>
      </c>
      <c r="I136">
        <f>IF(B136="",IF(C136&gt;=5,"falta en SV",""),IF(G136="",IF(H136&gt;=5,"no retomado en 9-11","previo"),IF(B136&lt;9,"retomado",IF(AND(C136&lt;=1,E136&gt;=3),"solo especializacion",IF(F136="","coherente",IF(F136&lt;=-1.5,"SV adelantado",IF(F136&gt;=2,"SV tarde","coherente")))))))</f>
        <v/>
      </c>
      <c r="J136">
        <f>Datos!B136</f>
        <v/>
      </c>
    </row>
    <row r="137">
      <c r="A137">
        <f>Datos!A137</f>
        <v/>
      </c>
      <c r="B137">
        <f>IF(Datos!C137="","",Datos!C137)</f>
        <v/>
      </c>
      <c r="C137">
        <f>COUNT(Datos!E137:M137)</f>
        <v/>
      </c>
      <c r="D137">
        <f>IF(C137=0,"",MEDIAN(Datos!E137:M137))</f>
        <v/>
      </c>
      <c r="E137">
        <f>COUNT(Datos!W137:AE137)</f>
        <v/>
      </c>
      <c r="F137">
        <f>IF(OR(B137="",D137=""),"",B137-D137)</f>
        <v/>
      </c>
      <c r="G137">
        <f>IF(Datos!D137="","",Datos!D137)</f>
        <v/>
      </c>
      <c r="H137">
        <f>COUNT(Datos!N137:V137)</f>
        <v/>
      </c>
      <c r="I137">
        <f>IF(B137="",IF(C137&gt;=5,"falta en SV",""),IF(G137="",IF(H137&gt;=5,"no retomado en 9-11","previo"),IF(B137&lt;9,"retomado",IF(AND(C137&lt;=1,E137&gt;=3),"solo especializacion",IF(F137="","coherente",IF(F137&lt;=-1.5,"SV adelantado",IF(F137&gt;=2,"SV tarde","coherente")))))))</f>
        <v/>
      </c>
      <c r="J137">
        <f>Datos!B137</f>
        <v/>
      </c>
    </row>
    <row r="138">
      <c r="A138">
        <f>Datos!A138</f>
        <v/>
      </c>
      <c r="B138">
        <f>IF(Datos!C138="","",Datos!C138)</f>
        <v/>
      </c>
      <c r="C138">
        <f>COUNT(Datos!E138:M138)</f>
        <v/>
      </c>
      <c r="D138">
        <f>IF(C138=0,"",MEDIAN(Datos!E138:M138))</f>
        <v/>
      </c>
      <c r="E138">
        <f>COUNT(Datos!W138:AE138)</f>
        <v/>
      </c>
      <c r="F138">
        <f>IF(OR(B138="",D138=""),"",B138-D138)</f>
        <v/>
      </c>
      <c r="G138">
        <f>IF(Datos!D138="","",Datos!D138)</f>
        <v/>
      </c>
      <c r="H138">
        <f>COUNT(Datos!N138:V138)</f>
        <v/>
      </c>
      <c r="I138">
        <f>IF(B138="",IF(C138&gt;=5,"falta en SV",""),IF(G138="",IF(H138&gt;=5,"no retomado en 9-11","previo"),IF(B138&lt;9,"retomado",IF(AND(C138&lt;=1,E138&gt;=3),"solo especializacion",IF(F138="","coherente",IF(F138&lt;=-1.5,"SV adelantado",IF(F138&gt;=2,"SV tarde","coherente")))))))</f>
        <v/>
      </c>
      <c r="J138">
        <f>Datos!B138</f>
        <v/>
      </c>
    </row>
    <row r="139">
      <c r="A139">
        <f>Datos!A139</f>
        <v/>
      </c>
      <c r="B139">
        <f>IF(Datos!C139="","",Datos!C139)</f>
        <v/>
      </c>
      <c r="C139">
        <f>COUNT(Datos!E139:M139)</f>
        <v/>
      </c>
      <c r="D139">
        <f>IF(C139=0,"",MEDIAN(Datos!E139:M139))</f>
        <v/>
      </c>
      <c r="E139">
        <f>COUNT(Datos!W139:AE139)</f>
        <v/>
      </c>
      <c r="F139">
        <f>IF(OR(B139="",D139=""),"",B139-D139)</f>
        <v/>
      </c>
      <c r="G139">
        <f>IF(Datos!D139="","",Datos!D139)</f>
        <v/>
      </c>
      <c r="H139">
        <f>COUNT(Datos!N139:V139)</f>
        <v/>
      </c>
      <c r="I139">
        <f>IF(B139="",IF(C139&gt;=5,"falta en SV",""),IF(G139="",IF(H139&gt;=5,"no retomado en 9-11","previo"),IF(B139&lt;9,"retomado",IF(AND(C139&lt;=1,E139&gt;=3),"solo especializacion",IF(F139="","coherente",IF(F139&lt;=-1.5,"SV adelantado",IF(F139&gt;=2,"SV tarde","coherente")))))))</f>
        <v/>
      </c>
      <c r="J139">
        <f>Datos!B139</f>
        <v/>
      </c>
    </row>
    <row r="140">
      <c r="A140">
        <f>Datos!A140</f>
        <v/>
      </c>
      <c r="B140">
        <f>IF(Datos!C140="","",Datos!C140)</f>
        <v/>
      </c>
      <c r="C140">
        <f>COUNT(Datos!E140:M140)</f>
        <v/>
      </c>
      <c r="D140">
        <f>IF(C140=0,"",MEDIAN(Datos!E140:M140))</f>
        <v/>
      </c>
      <c r="E140">
        <f>COUNT(Datos!W140:AE140)</f>
        <v/>
      </c>
      <c r="F140">
        <f>IF(OR(B140="",D140=""),"",B140-D140)</f>
        <v/>
      </c>
      <c r="G140">
        <f>IF(Datos!D140="","",Datos!D140)</f>
        <v/>
      </c>
      <c r="H140">
        <f>COUNT(Datos!N140:V140)</f>
        <v/>
      </c>
      <c r="I140">
        <f>IF(B140="",IF(C140&gt;=5,"falta en SV",""),IF(G140="",IF(H140&gt;=5,"no retomado en 9-11","previo"),IF(B140&lt;9,"retomado",IF(AND(C140&lt;=1,E140&gt;=3),"solo especializacion",IF(F140="","coherente",IF(F140&lt;=-1.5,"SV adelantado",IF(F140&gt;=2,"SV tarde","coherente")))))))</f>
        <v/>
      </c>
      <c r="J140">
        <f>Datos!B140</f>
        <v/>
      </c>
    </row>
    <row r="141">
      <c r="A141">
        <f>Datos!A141</f>
        <v/>
      </c>
      <c r="B141">
        <f>IF(Datos!C141="","",Datos!C141)</f>
        <v/>
      </c>
      <c r="C141">
        <f>COUNT(Datos!E141:M141)</f>
        <v/>
      </c>
      <c r="D141">
        <f>IF(C141=0,"",MEDIAN(Datos!E141:M141))</f>
        <v/>
      </c>
      <c r="E141">
        <f>COUNT(Datos!W141:AE141)</f>
        <v/>
      </c>
      <c r="F141">
        <f>IF(OR(B141="",D141=""),"",B141-D141)</f>
        <v/>
      </c>
      <c r="G141">
        <f>IF(Datos!D141="","",Datos!D141)</f>
        <v/>
      </c>
      <c r="H141">
        <f>COUNT(Datos!N141:V141)</f>
        <v/>
      </c>
      <c r="I141">
        <f>IF(B141="",IF(C141&gt;=5,"falta en SV",""),IF(G141="",IF(H141&gt;=5,"no retomado en 9-11","previo"),IF(B141&lt;9,"retomado",IF(AND(C141&lt;=1,E141&gt;=3),"solo especializacion",IF(F141="","coherente",IF(F141&lt;=-1.5,"SV adelantado",IF(F141&gt;=2,"SV tarde","coherente")))))))</f>
        <v/>
      </c>
      <c r="J141">
        <f>Datos!B141</f>
        <v/>
      </c>
    </row>
    <row r="142">
      <c r="A142">
        <f>Datos!A142</f>
        <v/>
      </c>
      <c r="B142">
        <f>IF(Datos!C142="","",Datos!C142)</f>
        <v/>
      </c>
      <c r="C142">
        <f>COUNT(Datos!E142:M142)</f>
        <v/>
      </c>
      <c r="D142">
        <f>IF(C142=0,"",MEDIAN(Datos!E142:M142))</f>
        <v/>
      </c>
      <c r="E142">
        <f>COUNT(Datos!W142:AE142)</f>
        <v/>
      </c>
      <c r="F142">
        <f>IF(OR(B142="",D142=""),"",B142-D142)</f>
        <v/>
      </c>
      <c r="G142">
        <f>IF(Datos!D142="","",Datos!D142)</f>
        <v/>
      </c>
      <c r="H142">
        <f>COUNT(Datos!N142:V142)</f>
        <v/>
      </c>
      <c r="I142">
        <f>IF(B142="",IF(C142&gt;=5,"falta en SV",""),IF(G142="",IF(H142&gt;=5,"no retomado en 9-11","previo"),IF(B142&lt;9,"retomado",IF(AND(C142&lt;=1,E142&gt;=3),"solo especializacion",IF(F142="","coherente",IF(F142&lt;=-1.5,"SV adelantado",IF(F142&gt;=2,"SV tarde","coherente")))))))</f>
        <v/>
      </c>
      <c r="J142">
        <f>Datos!B142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COUNTIF(Datos!B2:B142,A2)</f>
        <v/>
      </c>
    </row>
    <row r="3">
      <c r="A3" t="inlineStr">
        <is>
          <t>no_retomado</t>
        </is>
      </c>
      <c r="B3">
        <f>COUNTIF(Datos!B2:B142,A3)</f>
        <v/>
      </c>
    </row>
    <row r="4">
      <c r="A4" t="inlineStr">
        <is>
          <t>tardio</t>
        </is>
      </c>
      <c r="B4">
        <f>COUNTIF(Datos!B2:B142,A4)</f>
        <v/>
      </c>
    </row>
    <row r="5">
      <c r="A5" t="inlineStr">
        <is>
          <t>solo_especializacion</t>
        </is>
      </c>
      <c r="B5">
        <f>COUNTIF(Datos!B2:B142,A5)</f>
        <v/>
      </c>
    </row>
    <row r="6">
      <c r="A6" t="inlineStr">
        <is>
          <t>adelantado</t>
        </is>
      </c>
      <c r="B6">
        <f>COUNTIF(Datos!B2:B142,A6)</f>
        <v/>
      </c>
    </row>
    <row r="7">
      <c r="A7" t="inlineStr">
        <is>
          <t>sin_referente</t>
        </is>
      </c>
      <c r="B7">
        <f>COUNTIF(Datos!B2:B142,A7)</f>
        <v/>
      </c>
    </row>
    <row r="8">
      <c r="A8" t="inlineStr">
        <is>
          <t>alineado</t>
        </is>
      </c>
      <c r="B8">
        <f>COUNTIF(Datos!B2:B142,A8)</f>
        <v/>
      </c>
    </row>
    <row r="9">
      <c r="A9" t="inlineStr">
        <is>
          <t>retomado</t>
        </is>
      </c>
      <c r="B9">
        <f>COUNTIF(Datos!B2:B142,A9)</f>
        <v/>
      </c>
    </row>
    <row r="10">
      <c r="A10" t="inlineStr">
        <is>
          <t>previo</t>
        </is>
      </c>
      <c r="B10">
        <f>COUNTIF(Datos!B2:B142,A10)</f>
        <v/>
      </c>
    </row>
    <row r="11">
      <c r="A11" t="inlineStr">
        <is>
          <t>incierto</t>
        </is>
      </c>
      <c r="B11">
        <f>COUNTIF(Datos!B2:B142,A11)</f>
        <v/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