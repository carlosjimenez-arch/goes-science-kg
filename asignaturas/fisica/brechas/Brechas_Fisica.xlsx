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Concepto</t>
        </is>
      </c>
      <c r="B1" s="1" t="inlineStr">
        <is>
          <t>Primer grado SV</t>
        </is>
      </c>
      <c r="C1" s="1" t="inlineStr">
        <is>
          <t>Mediana países</t>
        </is>
      </c>
      <c r="D1" s="1" t="inlineStr">
        <is>
          <t>Mediana alto desempeño</t>
        </is>
      </c>
      <c r="E1" s="1" t="inlineStr">
        <is>
          <t>AU</t>
        </is>
      </c>
      <c r="F1" s="1" t="inlineStr">
        <is>
          <t>CO</t>
        </is>
      </c>
      <c r="G1" s="1" t="inlineStr">
        <is>
          <t>ENG</t>
        </is>
      </c>
      <c r="H1" s="1" t="inlineStr">
        <is>
          <t>JP</t>
        </is>
      </c>
      <c r="I1" s="1" t="inlineStr">
        <is>
          <t>SG</t>
        </is>
      </c>
      <c r="J1" s="1" t="inlineStr">
        <is>
          <t>UY</t>
        </is>
      </c>
      <c r="K1" s="1" t="inlineStr">
        <is>
          <t>Oportunidad</t>
        </is>
      </c>
    </row>
    <row r="2">
      <c r="A2" t="inlineStr">
        <is>
          <t>Fricción y resistencia del aire</t>
        </is>
      </c>
      <c r="B2" t="n">
        <v>10</v>
      </c>
      <c r="C2" t="n">
        <v>3</v>
      </c>
      <c r="D2" t="n">
        <v>3</v>
      </c>
      <c r="E2" t="n">
        <v>3</v>
      </c>
      <c r="G2" t="n">
        <v>2</v>
      </c>
      <c r="I2" t="n">
        <v>6</v>
      </c>
      <c r="K2" t="n">
        <v>7</v>
      </c>
    </row>
    <row r="3">
      <c r="A3" t="inlineStr">
        <is>
          <t>Calor como energía en tránsito</t>
        </is>
      </c>
      <c r="B3" t="n">
        <v>10</v>
      </c>
      <c r="C3" t="n">
        <v>4</v>
      </c>
      <c r="D3" t="n">
        <v>5</v>
      </c>
      <c r="G3" t="n">
        <v>6</v>
      </c>
      <c r="I3" t="n">
        <v>4</v>
      </c>
      <c r="J3" t="n">
        <v>3</v>
      </c>
      <c r="K3" t="n">
        <v>6</v>
      </c>
    </row>
    <row r="4">
      <c r="A4" t="inlineStr">
        <is>
          <t>Espejos planos e imágenes</t>
        </is>
      </c>
      <c r="B4" t="n">
        <v>10</v>
      </c>
      <c r="C4" t="n">
        <v>5</v>
      </c>
      <c r="D4" t="n">
        <v>6</v>
      </c>
      <c r="G4" t="n">
        <v>6</v>
      </c>
      <c r="J4" t="n">
        <v>4</v>
      </c>
      <c r="K4" t="n">
        <v>5</v>
      </c>
    </row>
    <row r="5">
      <c r="A5" t="inlineStr">
        <is>
          <t>Ley de gravitación universal</t>
        </is>
      </c>
      <c r="B5" t="n">
        <v>10</v>
      </c>
      <c r="C5" t="n">
        <v>5</v>
      </c>
      <c r="D5" t="n">
        <v>6</v>
      </c>
      <c r="F5" t="n">
        <v>4.5</v>
      </c>
      <c r="G5" t="n">
        <v>6</v>
      </c>
      <c r="J5" t="n">
        <v>5</v>
      </c>
      <c r="K5" t="n">
        <v>5</v>
      </c>
    </row>
    <row r="6">
      <c r="A6" t="inlineStr">
        <is>
          <t>Ventaja mecánica</t>
        </is>
      </c>
      <c r="B6" t="n">
        <v>9</v>
      </c>
      <c r="C6" t="n">
        <v>4</v>
      </c>
      <c r="D6" t="n">
        <v>4</v>
      </c>
      <c r="F6" t="n">
        <v>4</v>
      </c>
      <c r="G6" t="n">
        <v>3</v>
      </c>
      <c r="H6" t="n">
        <v>5</v>
      </c>
      <c r="K6" t="n">
        <v>5</v>
      </c>
    </row>
    <row r="7">
      <c r="A7" t="inlineStr">
        <is>
          <t>Equilibrio térmico y ley cero</t>
        </is>
      </c>
      <c r="B7" t="n">
        <v>9</v>
      </c>
      <c r="C7" t="n">
        <v>4.5</v>
      </c>
      <c r="D7" t="n">
        <v>4</v>
      </c>
      <c r="E7" t="n">
        <v>2</v>
      </c>
      <c r="G7" t="n">
        <v>6</v>
      </c>
      <c r="I7" t="n">
        <v>4</v>
      </c>
      <c r="J7" t="n">
        <v>5</v>
      </c>
      <c r="K7" t="n">
        <v>4.5</v>
      </c>
    </row>
    <row r="8">
      <c r="A8" t="inlineStr">
        <is>
          <t>Ley de Ohm</t>
        </is>
      </c>
      <c r="B8" t="n">
        <v>11</v>
      </c>
      <c r="C8" t="n">
        <v>6.5</v>
      </c>
      <c r="D8" t="n">
        <v>6.5</v>
      </c>
      <c r="G8" t="n">
        <v>6</v>
      </c>
      <c r="H8" t="n">
        <v>7</v>
      </c>
      <c r="K8" t="n">
        <v>4.5</v>
      </c>
    </row>
    <row r="9">
      <c r="A9" t="inlineStr">
        <is>
          <t>Lentes delgadas e imágenes</t>
        </is>
      </c>
      <c r="B9" t="n">
        <v>10</v>
      </c>
      <c r="C9" t="n">
        <v>6</v>
      </c>
      <c r="D9" t="n">
        <v>6</v>
      </c>
      <c r="G9" t="n">
        <v>6</v>
      </c>
      <c r="H9" t="n">
        <v>6</v>
      </c>
      <c r="J9" t="n">
        <v>5</v>
      </c>
      <c r="K9" t="n">
        <v>4</v>
      </c>
    </row>
    <row r="10">
      <c r="A10" t="inlineStr">
        <is>
          <t>Ondas electromagnéticas y espectro</t>
        </is>
      </c>
      <c r="B10" t="n">
        <v>10</v>
      </c>
      <c r="C10" t="n">
        <v>6</v>
      </c>
      <c r="D10" t="n">
        <v>6</v>
      </c>
      <c r="F10" t="n">
        <v>8.5</v>
      </c>
      <c r="G10" t="n">
        <v>6</v>
      </c>
      <c r="J10" t="n">
        <v>6</v>
      </c>
      <c r="K10" t="n">
        <v>4</v>
      </c>
    </row>
    <row r="11">
      <c r="A11" t="inlineStr">
        <is>
          <t>Carga eléctrica y electrización</t>
        </is>
      </c>
      <c r="B11" t="n">
        <v>9</v>
      </c>
      <c r="C11" t="n">
        <v>6</v>
      </c>
      <c r="D11" t="n">
        <v>6.5</v>
      </c>
      <c r="F11" t="n">
        <v>6</v>
      </c>
      <c r="G11" t="n">
        <v>6</v>
      </c>
      <c r="H11" t="n">
        <v>7</v>
      </c>
      <c r="J11" t="n">
        <v>5</v>
      </c>
      <c r="K11" t="n">
        <v>3</v>
      </c>
    </row>
    <row r="12">
      <c r="A12" t="inlineStr">
        <is>
          <t>Conservación de la energía</t>
        </is>
      </c>
      <c r="B12" t="n">
        <v>10</v>
      </c>
      <c r="C12" t="n">
        <v>7</v>
      </c>
      <c r="D12" t="n">
        <v>7</v>
      </c>
      <c r="E12" t="n">
        <v>8</v>
      </c>
      <c r="F12" t="n">
        <v>8.5</v>
      </c>
      <c r="G12" t="n">
        <v>6</v>
      </c>
      <c r="J12" t="n">
        <v>6</v>
      </c>
      <c r="K12" t="n">
        <v>3</v>
      </c>
    </row>
    <row r="13">
      <c r="A13" t="inlineStr">
        <is>
          <t>Potencia eléctrica y efecto Joule</t>
        </is>
      </c>
      <c r="B13" t="n">
        <v>9</v>
      </c>
      <c r="C13" t="n">
        <v>6</v>
      </c>
      <c r="D13" t="n">
        <v>6.5</v>
      </c>
      <c r="F13" t="n">
        <v>5</v>
      </c>
      <c r="G13" t="n">
        <v>6</v>
      </c>
      <c r="H13" t="n">
        <v>7</v>
      </c>
      <c r="K13" t="n">
        <v>3</v>
      </c>
    </row>
    <row r="14">
      <c r="A14" t="inlineStr">
        <is>
          <t>Gas ideal y teoría cinética</t>
        </is>
      </c>
      <c r="B14" t="n">
        <v>10</v>
      </c>
      <c r="C14" t="n">
        <v>7.25</v>
      </c>
      <c r="D14" t="n">
        <v>6</v>
      </c>
      <c r="F14" t="n">
        <v>8.5</v>
      </c>
      <c r="G14" t="n">
        <v>6</v>
      </c>
      <c r="K14" t="n">
        <v>2.75</v>
      </c>
    </row>
    <row r="15">
      <c r="A15" t="inlineStr">
        <is>
          <t>Corriente, voltaje y resistencia</t>
        </is>
      </c>
      <c r="B15" t="n">
        <v>6</v>
      </c>
      <c r="C15" t="n">
        <v>3.5</v>
      </c>
      <c r="D15" t="n">
        <v>3.5</v>
      </c>
      <c r="G15" t="n">
        <v>4</v>
      </c>
      <c r="H15" t="n">
        <v>3</v>
      </c>
      <c r="K15" t="n">
        <v>2.5</v>
      </c>
    </row>
    <row r="16">
      <c r="A16" t="inlineStr">
        <is>
          <t>Dilatación térmica</t>
        </is>
      </c>
      <c r="B16" t="n">
        <v>6</v>
      </c>
      <c r="C16" t="n">
        <v>3.5</v>
      </c>
      <c r="D16" t="n">
        <v>4</v>
      </c>
      <c r="G16" t="n">
        <v>6</v>
      </c>
      <c r="H16" t="n">
        <v>3</v>
      </c>
      <c r="I16" t="n">
        <v>4</v>
      </c>
      <c r="J16" t="n">
        <v>3</v>
      </c>
      <c r="K16" t="n">
        <v>2.5</v>
      </c>
    </row>
    <row r="17">
      <c r="A17" t="inlineStr">
        <is>
          <t>Fuerza magnética sobre corrientes y motor eléctrico</t>
        </is>
      </c>
      <c r="B17" t="n">
        <v>9</v>
      </c>
      <c r="C17" t="n">
        <v>6.5</v>
      </c>
      <c r="D17" t="n">
        <v>6.5</v>
      </c>
      <c r="G17" t="n">
        <v>6</v>
      </c>
      <c r="H17" t="n">
        <v>7</v>
      </c>
      <c r="K17" t="n">
        <v>2.5</v>
      </c>
    </row>
    <row r="18">
      <c r="A18" t="inlineStr">
        <is>
          <t>Ondas de radio y telecomunicaciones</t>
        </is>
      </c>
      <c r="B18" t="n">
        <v>11</v>
      </c>
      <c r="C18" t="n">
        <v>8.5</v>
      </c>
      <c r="D18" t="n">
        <v>8.5</v>
      </c>
      <c r="F18" t="n">
        <v>8.5</v>
      </c>
      <c r="G18" t="n">
        <v>8.5</v>
      </c>
      <c r="K18" t="n">
        <v>2.5</v>
      </c>
    </row>
    <row r="19">
      <c r="A19" t="inlineStr">
        <is>
          <t>Condiciones de equilibrio estático</t>
        </is>
      </c>
      <c r="B19" t="n">
        <v>8</v>
      </c>
      <c r="C19" t="n">
        <v>6</v>
      </c>
      <c r="D19" t="n">
        <v>6</v>
      </c>
      <c r="E19" t="n">
        <v>6</v>
      </c>
      <c r="G19" t="n">
        <v>6</v>
      </c>
      <c r="H19" t="n">
        <v>6</v>
      </c>
      <c r="K19" t="n">
        <v>2</v>
      </c>
    </row>
    <row r="20">
      <c r="A20" t="inlineStr">
        <is>
          <t>El sonido como onda mecánica</t>
        </is>
      </c>
      <c r="B20" t="n">
        <v>8</v>
      </c>
      <c r="C20" t="n">
        <v>6</v>
      </c>
      <c r="D20" t="n">
        <v>6</v>
      </c>
      <c r="E20" t="n">
        <v>8</v>
      </c>
      <c r="G20" t="n">
        <v>2</v>
      </c>
      <c r="H20" t="n">
        <v>6</v>
      </c>
      <c r="J20" t="n">
        <v>6</v>
      </c>
      <c r="K20" t="n">
        <v>2</v>
      </c>
    </row>
    <row r="21">
      <c r="A21" t="inlineStr">
        <is>
          <t>Fuerza neta y diagrama de cuerpo libre</t>
        </is>
      </c>
      <c r="B21" t="n">
        <v>8</v>
      </c>
      <c r="C21" t="n">
        <v>6</v>
      </c>
      <c r="D21" t="n">
        <v>6</v>
      </c>
      <c r="E21" t="n">
        <v>6</v>
      </c>
      <c r="F21" t="n">
        <v>4.5</v>
      </c>
      <c r="G21" t="n">
        <v>6</v>
      </c>
      <c r="H21" t="n">
        <v>6</v>
      </c>
      <c r="K21" t="n">
        <v>2</v>
      </c>
    </row>
    <row r="22">
      <c r="A22" t="inlineStr">
        <is>
          <t>Fuerzas mecánicas comunes</t>
        </is>
      </c>
      <c r="B22" t="n">
        <v>8</v>
      </c>
      <c r="C22" t="n">
        <v>6</v>
      </c>
      <c r="D22" t="n">
        <v>6</v>
      </c>
      <c r="G22" t="n">
        <v>6</v>
      </c>
      <c r="I22" t="n">
        <v>6</v>
      </c>
      <c r="K22" t="n">
        <v>2</v>
      </c>
    </row>
    <row r="23">
      <c r="A23" t="inlineStr">
        <is>
          <t>Sistema Internacional de Unidades</t>
        </is>
      </c>
      <c r="B23" t="n">
        <v>5</v>
      </c>
      <c r="C23" t="n">
        <v>3</v>
      </c>
      <c r="D23" t="n">
        <v>6</v>
      </c>
      <c r="F23" t="n">
        <v>2</v>
      </c>
      <c r="G23" t="n">
        <v>6</v>
      </c>
      <c r="J23" t="n">
        <v>3</v>
      </c>
      <c r="K23" t="n">
        <v>2</v>
      </c>
    </row>
    <row r="24">
      <c r="A24" t="inlineStr">
        <is>
          <t>Trabajo mecánico</t>
        </is>
      </c>
      <c r="B24" t="n">
        <v>8</v>
      </c>
      <c r="C24" t="n">
        <v>6</v>
      </c>
      <c r="D24" t="n">
        <v>7</v>
      </c>
      <c r="G24" t="n">
        <v>6</v>
      </c>
      <c r="H24" t="n">
        <v>8</v>
      </c>
      <c r="J24" t="n">
        <v>5</v>
      </c>
      <c r="K24" t="n">
        <v>2</v>
      </c>
    </row>
    <row r="25">
      <c r="A25" t="inlineStr">
        <is>
          <t>Flotación y hundimiento</t>
        </is>
      </c>
      <c r="B25" t="n">
        <v>6</v>
      </c>
      <c r="C25" t="n">
        <v>4.25</v>
      </c>
      <c r="D25" t="n">
        <v>4.5</v>
      </c>
      <c r="F25" t="n">
        <v>4.5</v>
      </c>
      <c r="G25" t="n">
        <v>6</v>
      </c>
      <c r="I25" t="n">
        <v>3</v>
      </c>
      <c r="J25" t="n">
        <v>4</v>
      </c>
      <c r="K25" t="n">
        <v>1.75</v>
      </c>
    </row>
    <row r="26">
      <c r="A26" t="inlineStr">
        <is>
          <t>Electroimanes y efecto magnético de la corriente</t>
        </is>
      </c>
      <c r="B26" t="n">
        <v>6</v>
      </c>
      <c r="C26" t="n">
        <v>4.5</v>
      </c>
      <c r="D26" t="n">
        <v>4</v>
      </c>
      <c r="G26" t="n">
        <v>6</v>
      </c>
      <c r="H26" t="n">
        <v>4</v>
      </c>
      <c r="I26" t="n">
        <v>3</v>
      </c>
      <c r="J26" t="n">
        <v>5</v>
      </c>
      <c r="K26" t="n">
        <v>1.5</v>
      </c>
    </row>
    <row r="27">
      <c r="A27" t="inlineStr">
        <is>
          <t>Presión</t>
        </is>
      </c>
      <c r="B27" t="n">
        <v>6</v>
      </c>
      <c r="C27" t="n">
        <v>4.5</v>
      </c>
      <c r="D27" t="n">
        <v>4.5</v>
      </c>
      <c r="G27" t="n">
        <v>6</v>
      </c>
      <c r="H27" t="n">
        <v>3</v>
      </c>
      <c r="K27" t="n">
        <v>1.5</v>
      </c>
    </row>
    <row r="28">
      <c r="A28" t="inlineStr">
        <is>
          <t>Refracción de la luz</t>
        </is>
      </c>
      <c r="B28" t="n">
        <v>7</v>
      </c>
      <c r="C28" t="n">
        <v>5.5</v>
      </c>
      <c r="D28" t="n">
        <v>6</v>
      </c>
      <c r="E28" t="n">
        <v>4</v>
      </c>
      <c r="G28" t="n">
        <v>6</v>
      </c>
      <c r="H28" t="n">
        <v>6</v>
      </c>
      <c r="J28" t="n">
        <v>5</v>
      </c>
      <c r="K28" t="n">
        <v>1.5</v>
      </c>
    </row>
    <row r="29">
      <c r="A29" t="inlineStr">
        <is>
          <t>Corriente alterna y transformador</t>
        </is>
      </c>
      <c r="B29" t="n">
        <v>9</v>
      </c>
      <c r="C29" t="n">
        <v>7.75</v>
      </c>
      <c r="D29" t="n">
        <v>7.75</v>
      </c>
      <c r="G29" t="n">
        <v>8.5</v>
      </c>
      <c r="H29" t="n">
        <v>7</v>
      </c>
      <c r="K29" t="n">
        <v>1.25</v>
      </c>
    </row>
    <row r="30">
      <c r="A30" t="inlineStr">
        <is>
          <t>Circuitos en serie y en paralelo</t>
        </is>
      </c>
      <c r="B30" t="n">
        <v>6</v>
      </c>
      <c r="C30" t="n">
        <v>5</v>
      </c>
      <c r="D30" t="n">
        <v>5</v>
      </c>
      <c r="G30" t="n">
        <v>6</v>
      </c>
      <c r="H30" t="n">
        <v>3</v>
      </c>
      <c r="I30" t="n">
        <v>5</v>
      </c>
      <c r="K30" t="n">
        <v>1</v>
      </c>
    </row>
    <row r="31">
      <c r="A31" t="inlineStr">
        <is>
          <t>Materiales magnéticos</t>
        </is>
      </c>
      <c r="B31" t="n">
        <v>3</v>
      </c>
      <c r="C31" t="n">
        <v>2</v>
      </c>
      <c r="D31" t="n">
        <v>2</v>
      </c>
      <c r="G31" t="n">
        <v>2</v>
      </c>
      <c r="H31" t="n">
        <v>2</v>
      </c>
      <c r="I31" t="n">
        <v>3</v>
      </c>
      <c r="K31" t="n">
        <v>1</v>
      </c>
    </row>
    <row r="32">
      <c r="A32" t="inlineStr">
        <is>
          <t>Longitud de onda, frecuencia y rapidez</t>
        </is>
      </c>
      <c r="B32" t="n">
        <v>8</v>
      </c>
      <c r="C32" t="n">
        <v>7.25</v>
      </c>
      <c r="D32" t="n">
        <v>6</v>
      </c>
      <c r="F32" t="n">
        <v>8.5</v>
      </c>
      <c r="G32" t="n">
        <v>6</v>
      </c>
      <c r="K32" t="n">
        <v>0.75</v>
      </c>
    </row>
    <row r="33">
      <c r="A33" t="inlineStr">
        <is>
          <t>Gráficas del movimiento</t>
        </is>
      </c>
      <c r="B33" t="n">
        <v>8</v>
      </c>
      <c r="C33" t="n">
        <v>7.5</v>
      </c>
      <c r="D33" t="n">
        <v>6</v>
      </c>
      <c r="F33" t="n">
        <v>9</v>
      </c>
      <c r="G33" t="n">
        <v>6</v>
      </c>
      <c r="K33" t="n">
        <v>0.5</v>
      </c>
    </row>
    <row r="34">
      <c r="A34" t="inlineStr">
        <is>
          <t>Imanes y polos magnéticos</t>
        </is>
      </c>
      <c r="B34" t="n">
        <v>3</v>
      </c>
      <c r="C34" t="n">
        <v>2.5</v>
      </c>
      <c r="D34" t="n">
        <v>2.5</v>
      </c>
      <c r="E34" t="n">
        <v>3</v>
      </c>
      <c r="F34" t="n">
        <v>2</v>
      </c>
      <c r="G34" t="n">
        <v>2</v>
      </c>
      <c r="H34" t="n">
        <v>2</v>
      </c>
      <c r="I34" t="n">
        <v>3</v>
      </c>
      <c r="J34" t="n">
        <v>5</v>
      </c>
      <c r="K34" t="n">
        <v>0.5</v>
      </c>
    </row>
    <row r="35">
      <c r="A35" t="inlineStr">
        <is>
          <t>Reflexión de la luz</t>
        </is>
      </c>
      <c r="B35" t="n">
        <v>4</v>
      </c>
      <c r="C35" t="n">
        <v>3.5</v>
      </c>
      <c r="D35" t="n">
        <v>3</v>
      </c>
      <c r="E35" t="n">
        <v>4</v>
      </c>
      <c r="F35" t="n">
        <v>3</v>
      </c>
      <c r="G35" t="n">
        <v>2</v>
      </c>
      <c r="H35" t="n">
        <v>2</v>
      </c>
      <c r="I35" t="n">
        <v>4</v>
      </c>
      <c r="J35" t="n">
        <v>4</v>
      </c>
      <c r="K35" t="n">
        <v>0.5</v>
      </c>
    </row>
    <row r="36">
      <c r="A36" t="inlineStr">
        <is>
          <t>Relaciones presión-volumen-temperatura en gases</t>
        </is>
      </c>
      <c r="B36" t="n">
        <v>9</v>
      </c>
      <c r="C36" t="n">
        <v>8.5</v>
      </c>
      <c r="D36" t="n">
        <v>8.5</v>
      </c>
      <c r="F36" t="n">
        <v>8.5</v>
      </c>
      <c r="G36" t="n">
        <v>8.5</v>
      </c>
      <c r="K36" t="n">
        <v>0.5</v>
      </c>
    </row>
    <row r="37">
      <c r="A37" t="inlineStr">
        <is>
          <t>Posición, desplazamiento y trayectoria</t>
        </is>
      </c>
      <c r="B37" t="n">
        <v>5</v>
      </c>
      <c r="C37" t="n">
        <v>4.75</v>
      </c>
      <c r="F37" t="n">
        <v>4.5</v>
      </c>
      <c r="J37" t="n">
        <v>5</v>
      </c>
      <c r="K37" t="n">
        <v>0.25</v>
      </c>
    </row>
    <row r="38">
      <c r="A38" t="inlineStr">
        <is>
          <t>Absorción de radiación y efecto invernadero</t>
        </is>
      </c>
      <c r="B38" t="n">
        <v>7</v>
      </c>
      <c r="C38" t="n">
        <v>7</v>
      </c>
      <c r="D38" t="n">
        <v>8.5</v>
      </c>
      <c r="F38" t="n">
        <v>4.5</v>
      </c>
      <c r="G38" t="n">
        <v>8.5</v>
      </c>
      <c r="J38" t="n">
        <v>7</v>
      </c>
      <c r="K38" t="n">
        <v>0</v>
      </c>
    </row>
    <row r="39">
      <c r="A39" t="inlineStr">
        <is>
          <t>Calentamiento y enfriamiento</t>
        </is>
      </c>
      <c r="B39" t="n">
        <v>2</v>
      </c>
      <c r="C39" t="n">
        <v>2</v>
      </c>
      <c r="D39" t="n">
        <v>3</v>
      </c>
      <c r="E39" t="n">
        <v>2</v>
      </c>
      <c r="F39" t="n">
        <v>2</v>
      </c>
      <c r="G39" t="n">
        <v>6</v>
      </c>
      <c r="H39" t="n">
        <v>2</v>
      </c>
      <c r="I39" t="n">
        <v>4</v>
      </c>
      <c r="K39" t="n">
        <v>0</v>
      </c>
    </row>
    <row r="40">
      <c r="A40" t="inlineStr">
        <is>
          <t>Características del sonido: tono, intensidad y eco</t>
        </is>
      </c>
      <c r="B40" t="n">
        <v>2</v>
      </c>
      <c r="C40" t="n">
        <v>2</v>
      </c>
      <c r="D40" t="n">
        <v>2</v>
      </c>
      <c r="F40" t="n">
        <v>2</v>
      </c>
      <c r="G40" t="n">
        <v>2</v>
      </c>
      <c r="H40" t="n">
        <v>2</v>
      </c>
      <c r="J40" t="n">
        <v>6</v>
      </c>
      <c r="K40" t="n">
        <v>0</v>
      </c>
    </row>
    <row r="41">
      <c r="A41" t="inlineStr">
        <is>
          <t>El sonido se produce por vibraciones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K41" t="n">
        <v>0</v>
      </c>
    </row>
    <row r="42">
      <c r="A42" t="inlineStr">
        <is>
          <t>Fuentes de luz, propagación y sombras</t>
        </is>
      </c>
      <c r="B42" t="n">
        <v>2</v>
      </c>
      <c r="C42" t="n">
        <v>2</v>
      </c>
      <c r="D42" t="n">
        <v>3</v>
      </c>
      <c r="E42" t="n">
        <v>4</v>
      </c>
      <c r="F42" t="n">
        <v>2</v>
      </c>
      <c r="G42" t="n">
        <v>2</v>
      </c>
      <c r="H42" t="n">
        <v>2</v>
      </c>
      <c r="I42" t="n">
        <v>4</v>
      </c>
      <c r="K42" t="n">
        <v>0</v>
      </c>
    </row>
    <row r="43">
      <c r="A43" t="inlineStr">
        <is>
          <t>Fuerza elástica y ley de Hooke</t>
        </is>
      </c>
      <c r="B43" t="n">
        <v>5</v>
      </c>
      <c r="C43" t="n">
        <v>5</v>
      </c>
      <c r="D43" t="n">
        <v>6</v>
      </c>
      <c r="G43" t="n">
        <v>6</v>
      </c>
      <c r="H43" t="n">
        <v>2</v>
      </c>
      <c r="I43" t="n">
        <v>6</v>
      </c>
      <c r="J43" t="n">
        <v>4</v>
      </c>
      <c r="K43" t="n">
        <v>0</v>
      </c>
    </row>
    <row r="44">
      <c r="A44" t="inlineStr">
        <is>
          <t>Fuerzas de contacto y a distancia</t>
        </is>
      </c>
      <c r="B44" t="n">
        <v>3</v>
      </c>
      <c r="C44" t="n">
        <v>3</v>
      </c>
      <c r="D44" t="n">
        <v>3</v>
      </c>
      <c r="E44" t="n">
        <v>3</v>
      </c>
      <c r="F44" t="n">
        <v>2</v>
      </c>
      <c r="G44" t="n">
        <v>2</v>
      </c>
      <c r="I44" t="n">
        <v>6</v>
      </c>
      <c r="J44" t="n">
        <v>3</v>
      </c>
      <c r="K44" t="n">
        <v>0</v>
      </c>
    </row>
    <row r="45">
      <c r="A45" t="inlineStr">
        <is>
          <t>La energía y sus usos</t>
        </is>
      </c>
      <c r="B45" t="n">
        <v>2</v>
      </c>
      <c r="C45" t="n">
        <v>2</v>
      </c>
      <c r="D45" t="n">
        <v>3.5</v>
      </c>
      <c r="F45" t="n">
        <v>2</v>
      </c>
      <c r="G45" t="n">
        <v>2</v>
      </c>
      <c r="H45" t="n">
        <v>5</v>
      </c>
      <c r="K45" t="n">
        <v>0</v>
      </c>
    </row>
    <row r="46">
      <c r="A46" t="inlineStr">
        <is>
          <t>Modelo de partículas de la materia</t>
        </is>
      </c>
      <c r="B46" t="n">
        <v>6</v>
      </c>
      <c r="C46" t="n">
        <v>6</v>
      </c>
      <c r="D46" t="n">
        <v>5</v>
      </c>
      <c r="E46" t="n">
        <v>4</v>
      </c>
      <c r="F46" t="n">
        <v>8.5</v>
      </c>
      <c r="G46" t="n">
        <v>6</v>
      </c>
      <c r="J46" t="n">
        <v>6</v>
      </c>
      <c r="K46" t="n">
        <v>0</v>
      </c>
    </row>
    <row r="47">
      <c r="A47" t="inlineStr">
        <is>
          <t>Máquinas simples</t>
        </is>
      </c>
      <c r="B47" t="n">
        <v>4</v>
      </c>
      <c r="C47" t="n">
        <v>4</v>
      </c>
      <c r="D47" t="n">
        <v>4</v>
      </c>
      <c r="F47" t="n">
        <v>4</v>
      </c>
      <c r="G47" t="n">
        <v>3</v>
      </c>
      <c r="H47" t="n">
        <v>5</v>
      </c>
      <c r="K47" t="n">
        <v>0</v>
      </c>
    </row>
    <row r="48">
      <c r="A48" t="inlineStr">
        <is>
          <t>Ondas mecánicas transversales y longitudinales</t>
        </is>
      </c>
      <c r="B48" t="n">
        <v>8</v>
      </c>
      <c r="C48" t="n">
        <v>8</v>
      </c>
      <c r="D48" t="n">
        <v>7</v>
      </c>
      <c r="E48" t="n">
        <v>8</v>
      </c>
      <c r="F48" t="n">
        <v>8.5</v>
      </c>
      <c r="G48" t="n">
        <v>6</v>
      </c>
      <c r="K48" t="n">
        <v>0</v>
      </c>
    </row>
    <row r="49">
      <c r="A49" t="inlineStr">
        <is>
          <t>Principio de Arquímedes: empuje</t>
        </is>
      </c>
      <c r="B49" t="n">
        <v>6</v>
      </c>
      <c r="C49" t="n">
        <v>6</v>
      </c>
      <c r="D49" t="n">
        <v>7</v>
      </c>
      <c r="G49" t="n">
        <v>6</v>
      </c>
      <c r="H49" t="n">
        <v>8</v>
      </c>
      <c r="J49" t="n">
        <v>4</v>
      </c>
      <c r="K49" t="n">
        <v>0</v>
      </c>
    </row>
    <row r="50">
      <c r="A50" t="inlineStr">
        <is>
          <t>Temperatura y escalas termométricas</t>
        </is>
      </c>
      <c r="B50" t="n">
        <v>3</v>
      </c>
      <c r="C50" t="n">
        <v>3</v>
      </c>
      <c r="D50" t="n">
        <v>3</v>
      </c>
      <c r="G50" t="n">
        <v>2</v>
      </c>
      <c r="I50" t="n">
        <v>4</v>
      </c>
      <c r="J50" t="n">
        <v>3</v>
      </c>
      <c r="K50" t="n">
        <v>0</v>
      </c>
    </row>
    <row r="51">
      <c r="A51" t="inlineStr">
        <is>
          <t>Torque o momento de fuerza</t>
        </is>
      </c>
      <c r="B51" t="n">
        <v>5</v>
      </c>
      <c r="C51" t="n">
        <v>5</v>
      </c>
      <c r="D51" t="n">
        <v>5.5</v>
      </c>
      <c r="F51" t="n">
        <v>4.5</v>
      </c>
      <c r="G51" t="n">
        <v>6</v>
      </c>
      <c r="H51" t="n">
        <v>5</v>
      </c>
      <c r="K51" t="n">
        <v>0</v>
      </c>
    </row>
    <row r="52">
      <c r="A52" t="inlineStr">
        <is>
          <t>Potencia mecánica</t>
        </is>
      </c>
      <c r="B52" t="n">
        <v>8</v>
      </c>
      <c r="C52" t="n">
        <v>8.25</v>
      </c>
      <c r="D52" t="n">
        <v>8.25</v>
      </c>
      <c r="G52" t="n">
        <v>8.5</v>
      </c>
      <c r="H52" t="n">
        <v>8</v>
      </c>
      <c r="K52" t="n">
        <v>-0.25</v>
      </c>
    </row>
    <row r="53">
      <c r="A53" t="inlineStr">
        <is>
          <t>Suma de vectores y componentes rectangulares</t>
        </is>
      </c>
      <c r="B53" t="n">
        <v>8</v>
      </c>
      <c r="C53" t="n">
        <v>8.25</v>
      </c>
      <c r="D53" t="n">
        <v>8.25</v>
      </c>
      <c r="G53" t="n">
        <v>8.5</v>
      </c>
      <c r="H53" t="n">
        <v>8</v>
      </c>
      <c r="K53" t="n">
        <v>-0.25</v>
      </c>
    </row>
    <row r="54">
      <c r="A54" t="inlineStr">
        <is>
          <t>Cambios de estado</t>
        </is>
      </c>
      <c r="B54" t="n">
        <v>2</v>
      </c>
      <c r="C54" t="n">
        <v>2.5</v>
      </c>
      <c r="D54" t="n">
        <v>2.5</v>
      </c>
      <c r="E54" t="n">
        <v>2</v>
      </c>
      <c r="F54" t="n">
        <v>2</v>
      </c>
      <c r="G54" t="n">
        <v>2</v>
      </c>
      <c r="H54" t="n">
        <v>3</v>
      </c>
      <c r="I54" t="n">
        <v>4</v>
      </c>
      <c r="J54" t="n">
        <v>3</v>
      </c>
      <c r="K54" t="n">
        <v>-0.5</v>
      </c>
    </row>
    <row r="55">
      <c r="A55" t="inlineStr">
        <is>
          <t>Conductores y aislantes eléctricos</t>
        </is>
      </c>
      <c r="B55" t="n">
        <v>4</v>
      </c>
      <c r="C55" t="n">
        <v>4.5</v>
      </c>
      <c r="D55" t="n">
        <v>3.5</v>
      </c>
      <c r="E55" t="n">
        <v>5</v>
      </c>
      <c r="F55" t="n">
        <v>4.5</v>
      </c>
      <c r="G55" t="n">
        <v>2</v>
      </c>
      <c r="H55" t="n">
        <v>2</v>
      </c>
      <c r="I55" t="n">
        <v>5</v>
      </c>
      <c r="K55" t="n">
        <v>-0.5</v>
      </c>
    </row>
    <row r="56">
      <c r="A56" t="inlineStr">
        <is>
          <t>Estados de la materia</t>
        </is>
      </c>
      <c r="B56" t="n">
        <v>2</v>
      </c>
      <c r="C56" t="n">
        <v>2.5</v>
      </c>
      <c r="D56" t="n">
        <v>2.5</v>
      </c>
      <c r="E56" t="n">
        <v>2</v>
      </c>
      <c r="F56" t="n">
        <v>2</v>
      </c>
      <c r="G56" t="n">
        <v>2</v>
      </c>
      <c r="H56" t="n">
        <v>3</v>
      </c>
      <c r="I56" t="n">
        <v>4</v>
      </c>
      <c r="J56" t="n">
        <v>3</v>
      </c>
      <c r="K56" t="n">
        <v>-0.5</v>
      </c>
    </row>
    <row r="57">
      <c r="A57" t="inlineStr">
        <is>
          <t>Fuerza como empuje o tirón</t>
        </is>
      </c>
      <c r="B57" t="n">
        <v>2</v>
      </c>
      <c r="C57" t="n">
        <v>2.5</v>
      </c>
      <c r="D57" t="n">
        <v>2.5</v>
      </c>
      <c r="E57" t="n">
        <v>2</v>
      </c>
      <c r="F57" t="n">
        <v>2</v>
      </c>
      <c r="G57" t="n">
        <v>6</v>
      </c>
      <c r="H57" t="n">
        <v>2</v>
      </c>
      <c r="I57" t="n">
        <v>3</v>
      </c>
      <c r="J57" t="n">
        <v>3</v>
      </c>
      <c r="K57" t="n">
        <v>-0.5</v>
      </c>
    </row>
    <row r="58">
      <c r="A58" t="inlineStr">
        <is>
          <t>Movimiento con aceleración constante</t>
        </is>
      </c>
      <c r="B58" t="n">
        <v>8</v>
      </c>
      <c r="C58" t="n">
        <v>8.5</v>
      </c>
      <c r="D58" t="n">
        <v>8</v>
      </c>
      <c r="F58" t="n">
        <v>9</v>
      </c>
      <c r="H58" t="n">
        <v>8</v>
      </c>
      <c r="K58" t="n">
        <v>-0.5</v>
      </c>
    </row>
    <row r="59">
      <c r="A59" t="inlineStr">
        <is>
          <t>Presión hidrostática y atmosférica</t>
        </is>
      </c>
      <c r="B59" t="n">
        <v>6</v>
      </c>
      <c r="C59" t="n">
        <v>6.5</v>
      </c>
      <c r="D59" t="n">
        <v>6.5</v>
      </c>
      <c r="G59" t="n">
        <v>6</v>
      </c>
      <c r="H59" t="n">
        <v>7</v>
      </c>
      <c r="K59" t="n">
        <v>-0.5</v>
      </c>
    </row>
    <row r="60">
      <c r="A60" t="inlineStr">
        <is>
          <t>Materiales opacos, transparentes y translúcidos</t>
        </is>
      </c>
      <c r="B60" t="n">
        <v>2</v>
      </c>
      <c r="C60" t="n">
        <v>3</v>
      </c>
      <c r="D60" t="n">
        <v>2.5</v>
      </c>
      <c r="F60" t="n">
        <v>3</v>
      </c>
      <c r="G60" t="n">
        <v>2</v>
      </c>
      <c r="I60" t="n">
        <v>3</v>
      </c>
      <c r="J60" t="n">
        <v>3</v>
      </c>
      <c r="K60" t="n">
        <v>-1</v>
      </c>
    </row>
    <row r="61">
      <c r="A61" t="inlineStr">
        <is>
          <t>Segunda ley de Newton</t>
        </is>
      </c>
      <c r="B61" t="n">
        <v>5</v>
      </c>
      <c r="C61" t="n">
        <v>6</v>
      </c>
      <c r="D61" t="n">
        <v>6</v>
      </c>
      <c r="E61" t="n">
        <v>6</v>
      </c>
      <c r="F61" t="n">
        <v>4</v>
      </c>
      <c r="G61" t="n">
        <v>6</v>
      </c>
      <c r="H61" t="n">
        <v>8</v>
      </c>
      <c r="J61" t="n">
        <v>9</v>
      </c>
      <c r="K61" t="n">
        <v>-1</v>
      </c>
    </row>
    <row r="62">
      <c r="A62" t="inlineStr">
        <is>
          <t>Campo magnético y magnetismo terrestre</t>
        </is>
      </c>
      <c r="B62" t="n">
        <v>5</v>
      </c>
      <c r="C62" t="n">
        <v>6.5</v>
      </c>
      <c r="D62" t="n">
        <v>6.5</v>
      </c>
      <c r="G62" t="n">
        <v>6</v>
      </c>
      <c r="H62" t="n">
        <v>7</v>
      </c>
      <c r="K62" t="n">
        <v>-1.5</v>
      </c>
    </row>
    <row r="63">
      <c r="A63" t="inlineStr">
        <is>
          <t>Circuito eléctrico simple</t>
        </is>
      </c>
      <c r="B63" t="n">
        <v>2</v>
      </c>
      <c r="C63" t="n">
        <v>3.5</v>
      </c>
      <c r="D63" t="n">
        <v>3.5</v>
      </c>
      <c r="E63" t="n">
        <v>5</v>
      </c>
      <c r="F63" t="n">
        <v>2</v>
      </c>
      <c r="G63" t="n">
        <v>2</v>
      </c>
      <c r="H63" t="n">
        <v>2</v>
      </c>
      <c r="I63" t="n">
        <v>5</v>
      </c>
      <c r="J63" t="n">
        <v>5</v>
      </c>
      <c r="K63" t="n">
        <v>-1.5</v>
      </c>
    </row>
    <row r="64">
      <c r="A64" t="inlineStr">
        <is>
          <t>Conducción, convección y radiación</t>
        </is>
      </c>
      <c r="B64" t="n">
        <v>2</v>
      </c>
      <c r="C64" t="n">
        <v>3.5</v>
      </c>
      <c r="D64" t="n">
        <v>5</v>
      </c>
      <c r="E64" t="n">
        <v>8</v>
      </c>
      <c r="F64" t="n">
        <v>2</v>
      </c>
      <c r="G64" t="n">
        <v>6</v>
      </c>
      <c r="H64" t="n">
        <v>3</v>
      </c>
      <c r="I64" t="n">
        <v>4</v>
      </c>
      <c r="J64" t="n">
        <v>3</v>
      </c>
      <c r="K64" t="n">
        <v>-1.5</v>
      </c>
    </row>
    <row r="65">
      <c r="A65" t="inlineStr">
        <is>
          <t>Expansión del universo y Big Bang</t>
        </is>
      </c>
      <c r="B65" t="n">
        <v>5</v>
      </c>
      <c r="C65" t="n">
        <v>6.5</v>
      </c>
      <c r="D65" t="n">
        <v>9</v>
      </c>
      <c r="E65" t="n">
        <v>9</v>
      </c>
      <c r="F65" t="n">
        <v>6.5</v>
      </c>
      <c r="J65" t="n">
        <v>6</v>
      </c>
      <c r="K65" t="n">
        <v>-1.5</v>
      </c>
    </row>
    <row r="66">
      <c r="A66" t="inlineStr">
        <is>
          <t>Medición de magnitudes con instrumentos</t>
        </is>
      </c>
      <c r="B66" t="n">
        <v>2</v>
      </c>
      <c r="C66" t="n">
        <v>3.5</v>
      </c>
      <c r="D66" t="n">
        <v>5</v>
      </c>
      <c r="F66" t="n">
        <v>2</v>
      </c>
      <c r="G66" t="n">
        <v>6</v>
      </c>
      <c r="I66" t="n">
        <v>4</v>
      </c>
      <c r="J66" t="n">
        <v>3</v>
      </c>
      <c r="K66" t="n">
        <v>-1.5</v>
      </c>
    </row>
    <row r="67">
      <c r="A67" t="inlineStr">
        <is>
          <t>Movimiento, reposo y tipos de trayectoria</t>
        </is>
      </c>
      <c r="B67" t="n">
        <v>2</v>
      </c>
      <c r="C67" t="n">
        <v>3.5</v>
      </c>
      <c r="D67" t="n">
        <v>4</v>
      </c>
      <c r="E67" t="n">
        <v>2</v>
      </c>
      <c r="F67" t="n">
        <v>2</v>
      </c>
      <c r="G67" t="n">
        <v>6</v>
      </c>
      <c r="H67" t="n">
        <v>2</v>
      </c>
      <c r="I67" t="n">
        <v>6</v>
      </c>
      <c r="J67" t="n">
        <v>5</v>
      </c>
      <c r="K67" t="n">
        <v>-1.5</v>
      </c>
    </row>
    <row r="68">
      <c r="A68" t="inlineStr">
        <is>
          <t>Densidad</t>
        </is>
      </c>
      <c r="B68" t="n">
        <v>2</v>
      </c>
      <c r="C68" t="n">
        <v>3.75</v>
      </c>
      <c r="D68" t="n">
        <v>4</v>
      </c>
      <c r="F68" t="n">
        <v>4.5</v>
      </c>
      <c r="G68" t="n">
        <v>6</v>
      </c>
      <c r="H68" t="n">
        <v>2</v>
      </c>
      <c r="J68" t="n">
        <v>3</v>
      </c>
      <c r="K68" t="n">
        <v>-1.75</v>
      </c>
    </row>
    <row r="69">
      <c r="A69" t="inlineStr">
        <is>
          <t>Energía potencial gravitatoria y elástica</t>
        </is>
      </c>
      <c r="B69" t="n">
        <v>5</v>
      </c>
      <c r="C69" t="n">
        <v>7</v>
      </c>
      <c r="D69" t="n">
        <v>7</v>
      </c>
      <c r="E69" t="n">
        <v>7</v>
      </c>
      <c r="G69" t="n">
        <v>6</v>
      </c>
      <c r="H69" t="n">
        <v>8</v>
      </c>
      <c r="K69" t="n">
        <v>-2</v>
      </c>
    </row>
    <row r="70">
      <c r="A70" t="inlineStr">
        <is>
          <t>Magnitudes escalares y vectoriales</t>
        </is>
      </c>
      <c r="B70" t="n">
        <v>5</v>
      </c>
      <c r="C70" t="n">
        <v>7.25</v>
      </c>
      <c r="D70" t="n">
        <v>7.25</v>
      </c>
      <c r="G70" t="n">
        <v>8.5</v>
      </c>
      <c r="H70" t="n">
        <v>6</v>
      </c>
      <c r="K70" t="n">
        <v>-2.25</v>
      </c>
    </row>
    <row r="71">
      <c r="A71" t="inlineStr">
        <is>
          <t>Energía cinética</t>
        </is>
      </c>
      <c r="B71" t="n">
        <v>5</v>
      </c>
      <c r="C71" t="n">
        <v>7.5</v>
      </c>
      <c r="D71" t="n">
        <v>8</v>
      </c>
      <c r="E71" t="n">
        <v>7</v>
      </c>
      <c r="F71" t="n">
        <v>6.5</v>
      </c>
      <c r="G71" t="n">
        <v>8.5</v>
      </c>
      <c r="H71" t="n">
        <v>8</v>
      </c>
      <c r="K71" t="n">
        <v>-2.5</v>
      </c>
    </row>
    <row r="72">
      <c r="A72" t="inlineStr">
        <is>
          <t>Masa y peso</t>
        </is>
      </c>
      <c r="B72" t="n">
        <v>2</v>
      </c>
      <c r="C72" t="n">
        <v>4.5</v>
      </c>
      <c r="D72" t="n">
        <v>6</v>
      </c>
      <c r="F72" t="n">
        <v>4.5</v>
      </c>
      <c r="G72" t="n">
        <v>6</v>
      </c>
      <c r="H72" t="n">
        <v>2</v>
      </c>
      <c r="I72" t="n">
        <v>6</v>
      </c>
      <c r="J72" t="n">
        <v>3</v>
      </c>
      <c r="K72" t="n">
        <v>-2.5</v>
      </c>
    </row>
    <row r="73">
      <c r="A73" t="inlineStr">
        <is>
          <t>Conservación de la energía mecánica</t>
        </is>
      </c>
      <c r="B73" t="n">
        <v>5</v>
      </c>
      <c r="C73" t="n">
        <v>8</v>
      </c>
      <c r="D73" t="n">
        <v>8</v>
      </c>
      <c r="F73" t="n">
        <v>7</v>
      </c>
      <c r="H73" t="n">
        <v>8</v>
      </c>
      <c r="J73" t="n">
        <v>9</v>
      </c>
      <c r="K73" t="n">
        <v>-3</v>
      </c>
    </row>
    <row r="74">
      <c r="A74" t="inlineStr">
        <is>
          <t>Formas de energía</t>
        </is>
      </c>
      <c r="B74" t="n">
        <v>2</v>
      </c>
      <c r="C74" t="n">
        <v>5</v>
      </c>
      <c r="D74" t="n">
        <v>5.5</v>
      </c>
      <c r="E74" t="n">
        <v>7</v>
      </c>
      <c r="F74" t="n">
        <v>2</v>
      </c>
      <c r="G74" t="n">
        <v>6</v>
      </c>
      <c r="H74" t="n">
        <v>5</v>
      </c>
      <c r="I74" t="n">
        <v>4</v>
      </c>
      <c r="K74" t="n">
        <v>-3</v>
      </c>
    </row>
    <row r="75">
      <c r="A75" t="inlineStr">
        <is>
          <t>Primera ley de Newton: inercia</t>
        </is>
      </c>
      <c r="B75" t="n">
        <v>5</v>
      </c>
      <c r="C75" t="n">
        <v>8</v>
      </c>
      <c r="D75" t="n">
        <v>8</v>
      </c>
      <c r="E75" t="n">
        <v>9</v>
      </c>
      <c r="F75" t="n">
        <v>4.5</v>
      </c>
      <c r="G75" t="n">
        <v>6</v>
      </c>
      <c r="H75" t="n">
        <v>8</v>
      </c>
      <c r="J75" t="n">
        <v>9</v>
      </c>
      <c r="K75" t="n">
        <v>-3</v>
      </c>
    </row>
    <row r="76">
      <c r="A76" t="inlineStr">
        <is>
          <t>Transformaciones de la energía</t>
        </is>
      </c>
      <c r="B76" t="n">
        <v>2</v>
      </c>
      <c r="C76" t="n">
        <v>5</v>
      </c>
      <c r="D76" t="n">
        <v>5.5</v>
      </c>
      <c r="E76" t="n">
        <v>5</v>
      </c>
      <c r="F76" t="n">
        <v>4.5</v>
      </c>
      <c r="G76" t="n">
        <v>6</v>
      </c>
      <c r="H76" t="n">
        <v>5</v>
      </c>
      <c r="I76" t="n">
        <v>6</v>
      </c>
      <c r="J76" t="n">
        <v>5</v>
      </c>
      <c r="K76" t="n">
        <v>-3</v>
      </c>
    </row>
    <row r="77">
      <c r="A77" t="inlineStr">
        <is>
          <t>Color y dispersión de la luz</t>
        </is>
      </c>
      <c r="B77" t="n">
        <v>2</v>
      </c>
      <c r="C77" t="n">
        <v>6</v>
      </c>
      <c r="D77" t="n">
        <v>6</v>
      </c>
      <c r="F77" t="n">
        <v>2</v>
      </c>
      <c r="G77" t="n">
        <v>6</v>
      </c>
      <c r="J77" t="n">
        <v>6</v>
      </c>
      <c r="K77" t="n">
        <v>-4</v>
      </c>
    </row>
    <row r="78">
      <c r="A78" t="inlineStr">
        <is>
          <t>Tercera ley de Newton: acción y reacción</t>
        </is>
      </c>
      <c r="B78" t="n">
        <v>5</v>
      </c>
      <c r="C78" t="n">
        <v>9</v>
      </c>
      <c r="D78" t="n">
        <v>7.5</v>
      </c>
      <c r="E78" t="n">
        <v>9</v>
      </c>
      <c r="G78" t="n">
        <v>6</v>
      </c>
      <c r="J78" t="n">
        <v>9</v>
      </c>
      <c r="K78" t="n">
        <v>-4</v>
      </c>
    </row>
    <row r="79">
      <c r="A79" t="inlineStr">
        <is>
          <t>Fuentes de energía renovables y no renovables</t>
        </is>
      </c>
      <c r="B79" t="n">
        <v>2</v>
      </c>
      <c r="C79" t="n">
        <v>6.5</v>
      </c>
      <c r="D79" t="n">
        <v>6</v>
      </c>
      <c r="F79" t="n">
        <v>6.5</v>
      </c>
      <c r="G79" t="n">
        <v>6</v>
      </c>
      <c r="H79" t="n">
        <v>8</v>
      </c>
      <c r="I79" t="n">
        <v>6</v>
      </c>
      <c r="J79" t="n">
        <v>9</v>
      </c>
      <c r="K79" t="n">
        <v>-4.5</v>
      </c>
    </row>
    <row r="80">
      <c r="A80" t="inlineStr">
        <is>
          <t>Rapidez y velocidad</t>
        </is>
      </c>
      <c r="B80" t="n">
        <v>2</v>
      </c>
      <c r="C80" t="n">
        <v>6.5</v>
      </c>
      <c r="D80" t="n">
        <v>7</v>
      </c>
      <c r="F80" t="n">
        <v>6.5</v>
      </c>
      <c r="G80" t="n">
        <v>6</v>
      </c>
      <c r="H80" t="n">
        <v>8</v>
      </c>
      <c r="K80" t="n">
        <v>-4.5</v>
      </c>
    </row>
    <row r="81">
      <c r="A81" t="inlineStr">
        <is>
          <t>Disipación de energía y eficiencia</t>
        </is>
      </c>
      <c r="B81" t="n">
        <v>2</v>
      </c>
      <c r="C81" t="n">
        <v>8</v>
      </c>
      <c r="D81" t="n">
        <v>8</v>
      </c>
      <c r="E81" t="n">
        <v>8</v>
      </c>
      <c r="F81" t="n">
        <v>7</v>
      </c>
      <c r="G81" t="n">
        <v>8.5</v>
      </c>
      <c r="H81" t="n">
        <v>8</v>
      </c>
      <c r="J81" t="n">
        <v>6</v>
      </c>
      <c r="K81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Brechas · Física</t>
        </is>
      </c>
      <c r="B1" s="1" t="inlineStr">
        <is>
          <t>Valor</t>
        </is>
      </c>
    </row>
    <row r="2">
      <c r="A2" t="inlineStr">
        <is>
          <t>Conceptos comparables con los países</t>
        </is>
      </c>
      <c r="B2">
        <f>COUNTA(Oportunidad!A2:A81)</f>
        <v/>
      </c>
    </row>
    <row r="3">
      <c r="A3" t="inlineStr">
        <is>
          <t>Llegan 2 o más grados tarde</t>
        </is>
      </c>
      <c r="B3">
        <f>COUNTIF(Oportunidad!K2:K81,"&gt;=2")</f>
        <v/>
      </c>
    </row>
    <row r="4">
      <c r="A4" t="inlineStr">
        <is>
          <t>Llegan 2 o más grados antes</t>
        </is>
      </c>
      <c r="B4">
        <f>COUNTIF(Oportunidad!K2:K81,"&lt;=-2")</f>
        <v/>
      </c>
    </row>
    <row r="5">
      <c r="A5" t="inlineStr">
        <is>
          <t>Oportunidad promedio (grados)</t>
        </is>
      </c>
      <c r="B5">
        <f>AVERAGE(Oportunidad!K2:K81)</f>
        <v/>
      </c>
    </row>
    <row r="6">
      <c r="A6" t="inlineStr">
        <is>
          <t>Errores de secuencia (todos)</t>
        </is>
      </c>
      <c r="B6" t="n">
        <v>28</v>
      </c>
    </row>
    <row r="7">
      <c r="A7" t="inlineStr">
        <is>
          <t>Errores de secuencia (confianza alta)</t>
        </is>
      </c>
      <c r="B7" t="n">
        <v>19</v>
      </c>
    </row>
    <row r="9">
      <c r="A9" t="inlineStr">
        <is>
          <t>Oportunidad = primer grado en El Salvador − mediana de los países de referencia (grado equivalente por edad de ingreso). Positivo: El Salvador llega tarde. Fuente: gskg brechas.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