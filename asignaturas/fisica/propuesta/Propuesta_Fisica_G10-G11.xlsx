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" sheetId="1" state="visible" r:id="rId1"/>
    <sheet name="Distribu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E4D3A"/>
      </patternFill>
    </fill>
    <fill>
      <patternFill patternType="solid">
        <fgColor rgb="00F2F2F2"/>
      </patternFill>
    </fill>
    <fill>
      <patternFill patternType="solid">
        <fgColor rgb="00DD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9" customWidth="1" min="4" max="4"/>
    <col width="9" customWidth="1" min="5" max="5"/>
    <col width="10" customWidth="1" min="6" max="6"/>
    <col width="26" customWidth="1" min="7" max="7"/>
    <col width="48" customWidth="1" min="8" max="8"/>
    <col width="44" customWidth="1" min="9" max="9"/>
    <col width="32" customWidth="1" min="10" max="10"/>
    <col width="34" customWidth="1" min="11" max="11"/>
    <col width="48" customWidth="1" min="12" max="12"/>
  </cols>
  <sheetData>
    <row r="1">
      <c r="A1" s="1" t="inlineStr">
        <is>
          <t>N</t>
        </is>
      </c>
      <c r="B1" s="1" t="inlineStr">
        <is>
          <t>Acción</t>
        </is>
      </c>
      <c r="C1" s="1" t="inlineStr">
        <is>
          <t>Temas afectados</t>
        </is>
      </c>
      <c r="D1" s="1" t="inlineStr">
        <is>
          <t>N.° de temas</t>
        </is>
      </c>
      <c r="E1" s="1" t="inlineStr">
        <is>
          <t>Grado actual</t>
        </is>
      </c>
      <c r="F1" s="1" t="inlineStr">
        <is>
          <t>Grado propuesto</t>
        </is>
      </c>
      <c r="G1" s="1" t="inlineStr">
        <is>
          <t>Unidad propuesta</t>
        </is>
      </c>
      <c r="H1" s="1" t="inlineStr">
        <is>
          <t>Tema propuesto</t>
        </is>
      </c>
      <c r="I1" s="1" t="inlineStr">
        <is>
          <t>Indicador de logro</t>
        </is>
      </c>
      <c r="J1" s="1" t="inlineStr">
        <is>
          <t>Conceptos</t>
        </is>
      </c>
      <c r="K1" s="1" t="inlineStr">
        <is>
          <t>Evidencia</t>
        </is>
      </c>
      <c r="L1" s="1" t="inlineStr">
        <is>
          <t>Justificación</t>
        </is>
      </c>
    </row>
    <row r="2">
      <c r="A2" s="2" t="n">
        <v>1</v>
      </c>
      <c r="B2" s="2" t="inlineStr">
        <is>
          <t>mover</t>
        </is>
      </c>
      <c r="C2" s="2" t="inlineStr">
        <is>
          <t>G10-FIS-U16-16.2, G10-FIS-U16-16.3</t>
        </is>
      </c>
      <c r="D2" s="2" t="n">
        <v>2</v>
      </c>
      <c r="E2" s="2" t="n">
        <v>10</v>
      </c>
      <c r="F2" s="2" t="n">
        <v>11</v>
      </c>
      <c r="G2" s="2" t="inlineStr">
        <is>
          <t>18. Naturaleza ondulatoria de la luz (16.2 abre la unidad, antes del actual 18.1; 16.3 la cierra, después del actual 18.7). La unidad 18 se enseña después de la unidad 5 y antes de la unidad 15.</t>
        </is>
      </c>
      <c r="H2" s="2" t="inlineStr">
        <is>
          <t>18.1. Experimentación cualitativa con la interferencia, la difracción y la polarización de la luz como fenómenos de superposición de ondas. | 18.9. Exploración de las aplicaciones tecnológicas de la interferencia, la difracción y la polarización de la luz.</t>
        </is>
      </c>
      <c r="I2" s="2" t="inlineStr">
        <is>
          <t>Observa con un láser, una doble rendija, una rejilla y dos polarizadores los patrones de interferencia, difracción y polarización, y los explica con la superposición de ondas estudiada en la unidad 5. | Explica el funcionamiento de recubrimientos antirreflejo, lectores de CD, pantallas LCD y lentes polarizadas con los principios de interferencia, difracción y polarización.</t>
        </is>
      </c>
      <c r="J2" s="2" t="inlineStr">
        <is>
          <t>Interferencia de la luz, Difracción de ondas y de la luz, Polarización de la luz, Superposición e interferencia de ondas</t>
        </is>
      </c>
      <c r="K2" s="2" t="inlineStr">
        <is>
          <t>prerrequisito: Superposición e interferencia de ondas (11.°) de Interferencia de la luz (10.°), confianza alta; prerrequisito: Superposición e interferencia de ondas (11.°) de Difracción de ondas y de la luz (10.°), confianza media; TA-O1.4 Reflexión, refracción, interferencia y difracción</t>
        </is>
      </c>
      <c r="L2" s="2" t="inlineStr">
        <is>
          <t>Hoy la interferencia de la luz se estudia en 10.°, un año antes que la superposición de ondas (11.°, unidad 5). Los dos temas pasan a la unidad 18 de 11.°, que ya trata esos fenómenos de forma cuantitativa.</t>
        </is>
      </c>
    </row>
    <row r="3">
      <c r="A3" s="3" t="n">
        <v>2</v>
      </c>
      <c r="B3" s="3" t="inlineStr">
        <is>
          <t>mover</t>
        </is>
      </c>
      <c r="C3" s="3" t="inlineStr">
        <is>
          <t>G10-FIS-U16-16.12</t>
        </is>
      </c>
      <c r="D3" s="3" t="n">
        <v>1</v>
      </c>
      <c r="E3" s="3" t="n">
        <v>10</v>
      </c>
      <c r="F3" s="3" t="n">
        <v>11</v>
      </c>
      <c r="G3" s="3" t="inlineStr">
        <is>
          <t>17. Refracción de la luz (después del actual 17.5 y antes de 17.6)</t>
        </is>
      </c>
      <c r="H3" s="3" t="inlineStr">
        <is>
          <t>17.6. Exploración de las aplicaciones tecnológicas de las imágenes formadas por espejos y lentes: cámaras, proyectores, lupas y anteojos.</t>
        </is>
      </c>
      <c r="I3" s="3" t="inlineStr">
        <is>
          <t>Describe con diagramas de rayos y la ecuación de las lentes cómo forman imágenes una cámara, un proyector, una lupa y unos anteojos, como introducción al ojo y a los instrumentos ópticos.</t>
        </is>
      </c>
      <c r="J3" s="3" t="inlineStr">
        <is>
          <t>El ojo y los instrumentos ópticos, Lentes delgadas e imágenes, Espejos esféricos</t>
        </is>
      </c>
      <c r="K3" s="3" t="inlineStr">
        <is>
          <t>prerrequisito: Lentes delgadas e imágenes (11.°) de El ojo y los instrumentos ópticos (10.°), confianza alta; TA-O1.4 Reflexión, refracción, interferencia y difracción</t>
        </is>
      </c>
      <c r="L3" s="3" t="inlineStr">
        <is>
          <t>Hoy las aplicaciones de las imágenes (ojo, instrumentos) se estudian en 10.°, antes de las lentes (unidad 17 de 11.°). El tema pasa a 11.°, después de la ecuación de las lentes y antes del ojo.</t>
        </is>
      </c>
    </row>
    <row r="4">
      <c r="A4" s="2" t="n">
        <v>3</v>
      </c>
      <c r="B4" s="2" t="inlineStr">
        <is>
          <t>revisar</t>
        </is>
      </c>
      <c r="C4" s="2" t="inlineStr">
        <is>
          <t>G10-FIS-U16-16.7</t>
        </is>
      </c>
      <c r="D4" s="2" t="n">
        <v>1</v>
      </c>
      <c r="E4" s="2" t="n">
        <v>10</v>
      </c>
      <c r="F4" s="2" t="n">
        <v>10</v>
      </c>
      <c r="G4" s="2" t="inlineStr">
        <is>
          <t>16. Óptica</t>
        </is>
      </c>
      <c r="H4" s="2" t="inlineStr">
        <is>
          <t>16.7. Indagación del modelo de rayos de la luz: propagación rectilínea, sombras y predicción de trayectorias.</t>
        </is>
      </c>
      <c r="I4" s="2" t="inlineStr">
        <is>
          <t>Predice con el modelo de rayos la trayectoria de la luz, la forma de las sombras y las penumbras, y reconoce los límites de ese modelo frente a los fenómenos ondulatorios.</t>
        </is>
      </c>
      <c r="J4" s="2" t="inlineStr">
        <is>
          <t>Fuentes de luz, propagación y sombras</t>
        </is>
      </c>
      <c r="K4" s="2" t="inlineStr">
        <is>
          <t>prerrequisito: Fotón y efecto fotoeléctrico (11.°) e Interferencia de la luz (11.° tras la acción 1) de Dualidad onda-partícula, confianza alta; indicador vigente de 16.7: «Reconoce la predictibilidad de la trayectoria de la luz al incidir en un objeto»</t>
        </is>
      </c>
      <c r="L4" s="2" t="inlineStr">
        <is>
          <t>El tema está etiquetado con la dualidad onda-partícula, pero su indicador trata del modelo de rayos. Se redacta así y se retira la etiqueta. La dualidad queda en 11.° (15.2), después del fotón y de la interferencia.</t>
        </is>
      </c>
    </row>
    <row r="5">
      <c r="A5" s="3" t="n">
        <v>4</v>
      </c>
      <c r="B5" s="3" t="inlineStr">
        <is>
          <t>revisar</t>
        </is>
      </c>
      <c r="C5" s="3" t="inlineStr">
        <is>
          <t>G11-FIS-U6-6.3</t>
        </is>
      </c>
      <c r="D5" s="3" t="n">
        <v>1</v>
      </c>
      <c r="E5" s="3" t="n">
        <v>11</v>
      </c>
      <c r="F5" s="3" t="n">
        <v>11</v>
      </c>
      <c r="G5" s="3" t="inlineStr">
        <is>
          <t>6. Fuerzas eléctricas</t>
        </is>
      </c>
      <c r="H5" s="3" t="inlineStr">
        <is>
          <t>6.3. Explicación de la diferencia entre conductores y aislantes con el modelo de electrones libres y de su comportamiento en la electrización.</t>
        </is>
      </c>
      <c r="I5" s="3" t="inlineStr">
        <is>
          <t>Explica con el modelo de electrones libres por qué un conductor cargado reparte la carga en su superficie y un aislante la retiene donde se depositó, y lo comprueba con un electroscopio.</t>
        </is>
      </c>
      <c r="J5" s="3" t="inlineStr">
        <is>
          <t>Conductores y aislantes eléctricos, Carga eléctrica y electrización</t>
        </is>
      </c>
      <c r="K5" s="3" t="inlineStr">
        <is>
          <t>CO 4, SG 5 (Conductores y aislantes eléctricos; candidato a mover a 10.°, sin bloqueos); prerrequisito: Conductores y aislantes eléctricos (11.°) de Circuito eléctrico simple (6.°), confianza alta</t>
        </is>
      </c>
      <c r="L5" s="3" t="inlineStr">
        <is>
          <t>No se mueve a 10.°: allí no hay electricidad y el retraso está en primaria (CO 4, SG 5). Las propuestas de 2.°–4.° y 5.°–8.° ya introducen la idea; en 11.° se explica con un modelo microscópico.</t>
        </is>
      </c>
    </row>
    <row r="6">
      <c r="A6" s="2" t="n">
        <v>5</v>
      </c>
      <c r="B6" s="2" t="inlineStr">
        <is>
          <t>revisar</t>
        </is>
      </c>
      <c r="C6" s="2" t="inlineStr">
        <is>
          <t>G10-FIS-U16-16.4, G10-FIS-U16-16.5, G10-FIS-U16-16.6, G10-FIS-U16-16.10, G10-FIS-U16-16.11</t>
        </is>
      </c>
      <c r="D6" s="2" t="n">
        <v>5</v>
      </c>
      <c r="E6" s="2" t="n">
        <v>10</v>
      </c>
      <c r="F6" s="2" t="n">
        <v>10</v>
      </c>
      <c r="G6" s="2" t="inlineStr">
        <is>
          <t>16. Óptica</t>
        </is>
      </c>
      <c r="H6" s="2" t="inlineStr">
        <is>
          <t>16.4. Experimentación con la dispersión de la luz en prismas y gotas de agua, y relación del color con el índice de refracción. | 16.5. Candidato a integrarse en 16.4 (dispersión: experimentación). | 16.6. Candidato a integrarse en 16.4 (dispersión: aplicaciones). | 16.10. Construcción cualitativa de diagramas de rayos para describir imágenes en espejos planos y en lentes convergentes. | 16.11. Localización experimental en un banco óptico de la imagen de una lente convergente, sin la ecuación de las lentes, que se formaliza en 11.°.</t>
        </is>
      </c>
      <c r="I6" s="2" t="inlineStr">
        <is>
          <t>Descompone la luz blanca con un prisma, explica el arcoíris y relaciona cada color con un índice de refracción distinto. | — | — | Dibuja los rayos principales y describe si la imagen es real o virtual, derecha o invertida, mayor o menor. | Mide en un banco óptico las distancias objeto e imagen de una lente convergente y describe cómo cambia la imagen al acercar el objeto.</t>
        </is>
      </c>
      <c r="J6" s="2" t="inlineStr">
        <is>
          <t>Color y dispersión de la luz, Refracción de la luz, Espejos planos e imágenes, Lentes delgadas e imágenes</t>
        </is>
      </c>
      <c r="K6" s="2" t="inlineStr">
        <is>
          <t>TA-O1.4 Reflexión, refracción, interferencia y difracción: 39 temas principales en el ciclo, el objetivo más cargado de TA15; repetición en el ciclo: espejos e imágenes en G11 16.2 a 16.5 y lentes en G11 17.2 a 17.5</t>
        </is>
      </c>
      <c r="L6" s="2" t="inlineStr">
        <is>
          <t>La dispersión ocupa tres temas (reconocer, experimentar, aplicar) y las imágenes se calculan en 10.° y otra vez en 11.°. Integrar la dispersión y dejar 10.° en lo cualitativo liberaría unas dos sesiones.</t>
        </is>
      </c>
    </row>
    <row r="7">
      <c r="A7" s="3" t="n">
        <v>6</v>
      </c>
      <c r="B7" s="3" t="inlineStr">
        <is>
          <t>revisar</t>
        </is>
      </c>
      <c r="C7" s="3" t="inlineStr">
        <is>
          <t>G10-FIS-U11-11.6, G10-FIS-U11-11.11, G10-FIS-U15-15.3, G10-FIS-U15-15.4</t>
        </is>
      </c>
      <c r="D7" s="3" t="n">
        <v>4</v>
      </c>
      <c r="E7" s="3" t="n">
        <v>10</v>
      </c>
      <c r="F7" s="3" t="n">
        <v>10</v>
      </c>
      <c r="G7" s="3" t="inlineStr">
        <is>
          <t>11. Mecánica de fluidos y 15. Termodinámica</t>
        </is>
      </c>
      <c r="H7" s="3" t="inlineStr">
        <is>
          <t>11.6. Aplicación del principio de Arquímedes al diseño de embarcaciones y globos: fracción sumergida y carga máxima, a partir del empuje medido en 9.°. | 11.11. Candidato a integrarse en 11.7: viscosidad, número de Reynolds y pérdidas de presión en tuberías reales. | 15.3. Aplicación de la primera ley a sistemas reales (motores, ollas de presión, compresores) a partir de lo resuelto en 9.°. | 15.4. Candidato a integrarse en 15.5: trabajo como área bajo la curva en diagramas p-V.</t>
        </is>
      </c>
      <c r="I7" s="3" t="inlineStr">
        <is>
          <t>Calcula la fracción sumergida y la carga máxima de una embarcación o un globo sin repetir la medición del empuje. | — | Determina el cambio de energía interna en un sistema real donde intervienen calor y trabajo, con la convención de signos adecuada. | —</t>
        </is>
      </c>
      <c r="J7" s="3" t="inlineStr">
        <is>
          <t>Principio de Arquímedes: empuje, Viscosidad y régimen de flujo, Primera ley de la termodinámica, Procesos termodinámicos</t>
        </is>
      </c>
      <c r="K7" s="3" t="inlineStr">
        <is>
          <t>repetición con 9.°: G09 1.1, 1.2 y 1.6 (empuje), 1.10 a 1.12 (viscosidad y ley de Stokes), 2.4 y 2.5 (procesos en gráficas) y 2.8 (primera ley); TA-M2.3 Primera ley de la termodinámica</t>
        </is>
      </c>
      <c r="L7" s="3" t="inlineStr">
        <is>
          <t>9.° ya trabaja el empuje, la viscosidad, los procesos en diagramas y la primera ley. En 10.° esos temas pueden partir de lo aprendido y dos de ellos integrarse en temas vecinos.</t>
        </is>
      </c>
    </row>
    <row r="8">
      <c r="A8" s="2" t="n">
        <v>7</v>
      </c>
      <c r="B8" s="2" t="inlineStr">
        <is>
          <t>revisar</t>
        </is>
      </c>
      <c r="C8" s="2" t="inlineStr">
        <is>
          <t>G11-FIS-U1-1.3, G11-FIS-U1-1.4, G11-FIS-U3-3.1</t>
        </is>
      </c>
      <c r="D8" s="2" t="n">
        <v>3</v>
      </c>
      <c r="E8" s="2" t="n">
        <v>11</v>
      </c>
      <c r="F8" s="2" t="n">
        <v>11</v>
      </c>
      <c r="G8" s="2" t="inlineStr">
        <is>
          <t>1. Movimiento armónico simple y 3. Ondas</t>
        </is>
      </c>
      <c r="H8" s="2" t="inlineStr">
        <is>
          <t>1.3. Cálculo de las energías de un oscilador masa-resorte en cualquier posición, a partir de las gráficas de energía estudiadas en 8.°. | 1.4. Determinación de g por linealización de la gráfica T²–L de un péndulo y evaluación de la aproximación de ángulos pequeños. | 3.1. Candidato a integrarse en 3.2: repaso breve de ondas transversales y longitudinales como punto de partida.</t>
        </is>
      </c>
      <c r="I8" s="2" t="inlineStr">
        <is>
          <t>Calcula la energía potencial elástica y la cinética del oscilador en cualquier posición y verifica que su suma se conserva. | Determina g con la pendiente de T² en función de L y evalúa el error al aumentar la amplitud. | —</t>
        </is>
      </c>
      <c r="J8" s="2" t="inlineStr">
        <is>
          <t>Movimiento armónico simple, Péndulo simple, Ondas mecánicas transversales y longitudinales</t>
        </is>
      </c>
      <c r="K8" s="2" t="inlineStr">
        <is>
          <t>repetición con 8.°: G08 3.3 (energía del oscilador), 3.4 a 3.6 (período del péndulo y cálculo de una altura) y 3.7, 3.9 y 3.10 (tipo de onda); TA-O1.1 Ondas mecánicas: 14 temas principales en el ciclo</t>
        </is>
      </c>
      <c r="L8" s="2" t="inlineStr">
        <is>
          <t>8.° ya mide el período del péndulo, grafica la energía del oscilador y clasifica las ondas. En 11.° esos temas deben partir de ese trabajo; la clasificación de ondas puede reducirse a un repaso dentro de 3.2.</t>
        </is>
      </c>
    </row>
    <row r="9">
      <c r="A9" s="3" t="n">
        <v>8</v>
      </c>
      <c r="B9" s="3" t="inlineStr">
        <is>
          <t>revisar</t>
        </is>
      </c>
      <c r="C9" s="3" t="inlineStr">
        <is>
          <t>G11-FIS-U23-23.1, G11-FIS-U23-23.2, G11-FIS-U23-23.3, G11-FIS-U23-23.4, G11-FIS-U23-23.6, G11-FIS-U15-15.7</t>
        </is>
      </c>
      <c r="D9" s="3" t="n">
        <v>6</v>
      </c>
      <c r="E9" s="3" t="n">
        <v>11</v>
      </c>
      <c r="F9" s="3" t="n">
        <v>11</v>
      </c>
      <c r="G9" s="3" t="inlineStr">
        <is>
          <t>19. Relatividad, 21. Física radiactiva y 15. La luz</t>
        </is>
      </c>
      <c r="H9" s="3" t="inlineStr">
        <is>
          <t>23.1. Candidato a integrarse en 19.1 como idea cualitativa de lo que no cambia entre observadores (la formalización de métricas supera el alcance de TA15). | 19.6. Interpretación de la relatividad de la simultaneidad para observadores inerciales (se traslada desde 23.2 a la unidad 19). | 19.7. Cálculo de la contracción de la longitud de objetos que se mueven a rapidez cercana a la de la luz (se traslada desde 23.3 a la unidad 19). | 21.5. Identificación de los tipos de radiación ionizante, de sus efectos en las células y de sus aplicaciones médicas (integra 23.4 y 23.6). | 23.6. Candidato a integrarse en 21.5. | 15.7. Explicación cualitativa del principio de incertidumbre como consecuencia de la dualidad onda-partícula.</t>
        </is>
      </c>
      <c r="I9" s="3" t="inlineStr">
        <is>
          <t>— | Explica con un ejemplo de tren y andén por qué dos eventos simultáneos para un observador no lo son para otro. | Calcula la longitud contraída con el factor de Lorentz y la relaciona con la dilatación del tiempo. | Compara el poder de penetración y el daño celular de las radiaciones alfa, beta y gamma, y ejemplifica su uso en diagnóstico y radioterapia. | — | Explica por qué no se pueden conocer a la vez con precisión arbitraria la posición y el momento de un electrón, y por qué el efecto no se nota en objetos macroscópicos.</t>
        </is>
      </c>
      <c r="J9" s="3" t="inlineStr">
        <is>
          <t>Relatividad especial, Radiación ionizante: detección, efectos y aplicaciones, Dualidad onda-partícula</t>
        </is>
      </c>
      <c r="K9" s="3" t="inlineStr">
        <is>
          <t>repetición en el ciclo: Relatividad especial en 8 temas (unidades 19 y 23); Radiación ionizante en 5 temas (21.4, 23.4, 23.5, 23.6 y 23.9); TA-O2.2 Dualidad onda-partícula; efecto fotoeléctrico; TA-O2.4 Equivalencia masa-energía</t>
        </is>
      </c>
      <c r="L9" s="3" t="inlineStr">
        <is>
          <t>La unidad 23 repite la relatividad de la unidad 19 y la radiación de la unidad 21. Reagrupar evita la repetición. Las métricas y el cálculo con Heisenberg superan TA15; integrar liberaría dos o tres sesiones.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2" customWidth="1" min="4" max="4"/>
    <col width="22" customWidth="1" min="5" max="5"/>
    <col width="22" customWidth="1" min="6" max="6"/>
  </cols>
  <sheetData>
    <row r="1">
      <c r="A1" s="1" t="inlineStr">
        <is>
          <t>Grado</t>
        </is>
      </c>
      <c r="B1" s="1" t="inlineStr">
        <is>
          <t>Temas actuales</t>
        </is>
      </c>
      <c r="C1" s="1" t="inlineStr">
        <is>
          <t>Temas propuestos</t>
        </is>
      </c>
      <c r="D1" s="1" t="inlineStr">
        <is>
          <t>Diferencia</t>
        </is>
      </c>
      <c r="E1" s="1" t="inlineStr">
        <is>
          <t>Acciones que salen del grado</t>
        </is>
      </c>
      <c r="F1" s="1" t="inlineStr">
        <is>
          <t>Acciones que llegan al grado</t>
        </is>
      </c>
    </row>
    <row r="2">
      <c r="A2" s="4" t="n">
        <v>10</v>
      </c>
      <c r="B2" s="4" t="n">
        <v>121</v>
      </c>
      <c r="C2" s="4" t="n">
        <v>118</v>
      </c>
      <c r="D2" s="4">
        <f>C2-B2</f>
        <v/>
      </c>
      <c r="E2" s="4">
        <f>COUNTIFS(Acciones!E:E,A2,Acciones!B:B,"mover")</f>
        <v/>
      </c>
      <c r="F2" s="4">
        <f>COUNTIFS(Acciones!F:F,A2,Acciones!B:B,"mover")</f>
        <v/>
      </c>
    </row>
    <row r="3">
      <c r="A3" s="4" t="n">
        <v>11</v>
      </c>
      <c r="B3" s="4" t="n">
        <v>146</v>
      </c>
      <c r="C3" s="4" t="n">
        <v>149</v>
      </c>
      <c r="D3" s="4">
        <f>C3-B3</f>
        <v/>
      </c>
      <c r="E3" s="4">
        <f>COUNTIFS(Acciones!E:E,A3,Acciones!B:B,"mover")</f>
        <v/>
      </c>
      <c r="F3" s="4">
        <f>COUNTIFS(Acciones!F:F,A3,Acciones!B:B,"mover")</f>
        <v/>
      </c>
    </row>
    <row r="4">
      <c r="A4" s="5" t="inlineStr">
        <is>
          <t>Total</t>
        </is>
      </c>
      <c r="B4" s="5">
        <f>SUM(B2:B3)</f>
        <v/>
      </c>
      <c r="C4" s="5">
        <f>SUM(C2:C3)</f>
        <v/>
      </c>
      <c r="D4" s="5">
        <f>C4-B4</f>
        <v/>
      </c>
      <c r="E4" s="5">
        <f>SUM(E2:E3)</f>
        <v/>
      </c>
      <c r="F4" s="5">
        <f>SUM(F2:F3)</f>
        <v/>
      </c>
    </row>
    <row r="6">
      <c r="A6" t="inlineStr">
        <is>
          <t>Regla: el total del ciclo no cambia (Diferencia del total = 0). Fuente: gskg propuesta + revisión del especialista; estado: borrador, pendiente de revisión del equipo de Ciencias del MINED.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2026-10-05T20:37:09Z</dcterms:created>
  <dcterms:modified xsi:type="dcterms:W3CDTF">2026-10-05T20:37:09Z</dcterms:modified>
</cp:coreProperties>
</file>