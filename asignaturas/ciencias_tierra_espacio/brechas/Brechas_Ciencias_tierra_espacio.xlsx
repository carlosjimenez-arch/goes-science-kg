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SG</t>
        </is>
      </c>
      <c r="I1" s="1" t="inlineStr">
        <is>
          <t>UY</t>
        </is>
      </c>
      <c r="J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</v>
      </c>
      <c r="D2" t="n">
        <v>2</v>
      </c>
      <c r="E2" t="n">
        <v>2</v>
      </c>
      <c r="F2" t="n">
        <v>8.5</v>
      </c>
      <c r="G2" t="n">
        <v>2</v>
      </c>
      <c r="J2" t="n">
        <v>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I3" t="n">
        <v>5</v>
      </c>
      <c r="J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5</v>
      </c>
      <c r="I4" t="n">
        <v>3</v>
      </c>
      <c r="J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J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6.5</v>
      </c>
      <c r="D6" t="n">
        <v>7</v>
      </c>
      <c r="E6" t="n">
        <v>8</v>
      </c>
      <c r="F6" t="n">
        <v>6.5</v>
      </c>
      <c r="G6" t="n">
        <v>6</v>
      </c>
      <c r="J6" t="n">
        <v>3.5</v>
      </c>
    </row>
    <row r="7">
      <c r="A7" t="inlineStr">
        <is>
          <t>Fósiles y su formación</t>
        </is>
      </c>
      <c r="B7" t="n">
        <v>5</v>
      </c>
      <c r="C7" t="n">
        <v>2</v>
      </c>
      <c r="D7" t="n">
        <v>2</v>
      </c>
      <c r="F7" t="n">
        <v>2</v>
      </c>
      <c r="G7" t="n">
        <v>2</v>
      </c>
      <c r="I7" t="n">
        <v>6</v>
      </c>
      <c r="J7" t="n">
        <v>3</v>
      </c>
    </row>
    <row r="8">
      <c r="A8" t="inlineStr">
        <is>
          <t>Suelo: formación, componentes y tipos</t>
        </is>
      </c>
      <c r="B8" t="n">
        <v>5</v>
      </c>
      <c r="C8" t="n">
        <v>2.5</v>
      </c>
      <c r="D8" t="n">
        <v>2</v>
      </c>
      <c r="E8" t="n">
        <v>2</v>
      </c>
      <c r="F8" t="n">
        <v>6.5</v>
      </c>
      <c r="G8" t="n">
        <v>2</v>
      </c>
      <c r="I8" t="n">
        <v>3</v>
      </c>
      <c r="J8" t="n">
        <v>2.5</v>
      </c>
    </row>
    <row r="9">
      <c r="A9" t="inlineStr">
        <is>
          <t>Calidad del aire y contaminación atmosférica</t>
        </is>
      </c>
      <c r="B9" t="n">
        <v>7</v>
      </c>
      <c r="C9" t="n">
        <v>5</v>
      </c>
      <c r="D9" t="n">
        <v>5</v>
      </c>
      <c r="F9" t="n">
        <v>4.5</v>
      </c>
      <c r="H9" t="n">
        <v>5</v>
      </c>
      <c r="I9" t="n">
        <v>5</v>
      </c>
      <c r="J9" t="n">
        <v>2</v>
      </c>
    </row>
    <row r="10">
      <c r="A10" t="inlineStr">
        <is>
          <t>Efecto invernadero</t>
        </is>
      </c>
      <c r="B10" t="n">
        <v>7</v>
      </c>
      <c r="C10" t="n">
        <v>5.75</v>
      </c>
      <c r="F10" t="n">
        <v>4.5</v>
      </c>
      <c r="I10" t="n">
        <v>7</v>
      </c>
      <c r="J10" t="n">
        <v>1.25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I11" t="n">
        <v>3</v>
      </c>
      <c r="J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I12" t="n">
        <v>4</v>
      </c>
      <c r="J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J13" t="n">
        <v>1</v>
      </c>
    </row>
    <row r="14">
      <c r="A14" t="inlineStr">
        <is>
          <t>El sistema solar y el modelo heliocéntrico</t>
        </is>
      </c>
      <c r="B14" t="n">
        <v>4</v>
      </c>
      <c r="C14" t="n">
        <v>3.5</v>
      </c>
      <c r="D14" t="n">
        <v>2.5</v>
      </c>
      <c r="E14" t="n">
        <v>2</v>
      </c>
      <c r="F14" t="n">
        <v>4.5</v>
      </c>
      <c r="G14" t="n">
        <v>3</v>
      </c>
      <c r="I14" t="n">
        <v>4</v>
      </c>
      <c r="J14" t="n">
        <v>0.5</v>
      </c>
    </row>
    <row r="15">
      <c r="A15" t="inlineStr">
        <is>
          <t>Impacto de las actividades humanas en los recursos</t>
        </is>
      </c>
      <c r="B15" t="n">
        <v>5</v>
      </c>
      <c r="C15" t="n">
        <v>4.75</v>
      </c>
      <c r="D15" t="n">
        <v>5</v>
      </c>
      <c r="F15" t="n">
        <v>4.5</v>
      </c>
      <c r="H15" t="n">
        <v>5</v>
      </c>
      <c r="J15" t="n">
        <v>0.25</v>
      </c>
    </row>
    <row r="16">
      <c r="A16" t="inlineStr">
        <is>
          <t>Patrones estacionales: época seca y lluviosa</t>
        </is>
      </c>
      <c r="B16" t="n">
        <v>2</v>
      </c>
      <c r="C16" t="n">
        <v>2</v>
      </c>
      <c r="D16" t="n">
        <v>2</v>
      </c>
      <c r="E16" t="n">
        <v>2</v>
      </c>
      <c r="G16" t="n">
        <v>2</v>
      </c>
      <c r="J16" t="n">
        <v>0</v>
      </c>
    </row>
    <row r="17">
      <c r="A17" t="inlineStr">
        <is>
          <t>Fases de la Luna</t>
        </is>
      </c>
      <c r="B17" t="n">
        <v>4</v>
      </c>
      <c r="C17" t="n">
        <v>4.5</v>
      </c>
      <c r="F17" t="n">
        <v>4</v>
      </c>
      <c r="I17" t="n">
        <v>5</v>
      </c>
      <c r="J17" t="n">
        <v>-0.5</v>
      </c>
    </row>
    <row r="18">
      <c r="A18" t="inlineStr">
        <is>
          <t>Rotación de la Tierra: día, noche y sombras</t>
        </is>
      </c>
      <c r="B18" t="n">
        <v>2</v>
      </c>
      <c r="C18" t="n">
        <v>2.5</v>
      </c>
      <c r="D18" t="n">
        <v>2.5</v>
      </c>
      <c r="E18" t="n">
        <v>2</v>
      </c>
      <c r="F18" t="n">
        <v>2</v>
      </c>
      <c r="G18" t="n">
        <v>3</v>
      </c>
      <c r="I18" t="n">
        <v>3</v>
      </c>
      <c r="J18" t="n">
        <v>-0.5</v>
      </c>
    </row>
    <row r="19">
      <c r="A19" t="inlineStr">
        <is>
          <t>Deriva continental y expansión del fondo oceánico</t>
        </is>
      </c>
      <c r="B19" t="n">
        <v>5</v>
      </c>
      <c r="C19" t="n">
        <v>6</v>
      </c>
      <c r="D19" t="n">
        <v>7</v>
      </c>
      <c r="E19" t="n">
        <v>7</v>
      </c>
      <c r="I19" t="n">
        <v>5</v>
      </c>
      <c r="J19" t="n">
        <v>-1</v>
      </c>
    </row>
    <row r="20">
      <c r="A20" t="inlineStr">
        <is>
          <t>Estrellas y nebulosas</t>
        </is>
      </c>
      <c r="B20" t="n">
        <v>5</v>
      </c>
      <c r="C20" t="n">
        <v>6</v>
      </c>
      <c r="D20" t="n">
        <v>6</v>
      </c>
      <c r="F20" t="n">
        <v>6.5</v>
      </c>
      <c r="G20" t="n">
        <v>6</v>
      </c>
      <c r="I20" t="n">
        <v>4</v>
      </c>
      <c r="J20" t="n">
        <v>-1</v>
      </c>
    </row>
    <row r="21">
      <c r="A21" t="inlineStr">
        <is>
          <t>Galaxias y escala del universo</t>
        </is>
      </c>
      <c r="B21" t="n">
        <v>5</v>
      </c>
      <c r="C21" t="n">
        <v>6</v>
      </c>
      <c r="D21" t="n">
        <v>6</v>
      </c>
      <c r="G21" t="n">
        <v>6</v>
      </c>
      <c r="I21" t="n">
        <v>6</v>
      </c>
      <c r="J21" t="n">
        <v>-1</v>
      </c>
    </row>
    <row r="22">
      <c r="A22" t="inlineStr">
        <is>
          <t>Hidrosfera: distribución del agua dulce y salada</t>
        </is>
      </c>
      <c r="B22" t="n">
        <v>3</v>
      </c>
      <c r="C22" t="n">
        <v>4</v>
      </c>
      <c r="D22" t="n">
        <v>3</v>
      </c>
      <c r="E22" t="n">
        <v>3</v>
      </c>
      <c r="F22" t="n">
        <v>6.5</v>
      </c>
      <c r="I22" t="n">
        <v>4</v>
      </c>
      <c r="J22" t="n">
        <v>-1</v>
      </c>
    </row>
    <row r="23">
      <c r="A23" t="inlineStr">
        <is>
          <t>Mareas</t>
        </is>
      </c>
      <c r="B23" t="n">
        <v>4</v>
      </c>
      <c r="C23" t="n">
        <v>5</v>
      </c>
      <c r="D23" t="n">
        <v>6</v>
      </c>
      <c r="E23" t="n">
        <v>6</v>
      </c>
      <c r="F23" t="n">
        <v>4.5</v>
      </c>
      <c r="I23" t="n">
        <v>5</v>
      </c>
      <c r="J23" t="n">
        <v>-1</v>
      </c>
    </row>
    <row r="24">
      <c r="A24" t="inlineStr">
        <is>
          <t>Tectónica de placas</t>
        </is>
      </c>
      <c r="B24" t="n">
        <v>5</v>
      </c>
      <c r="C24" t="n">
        <v>6</v>
      </c>
      <c r="D24" t="n">
        <v>7</v>
      </c>
      <c r="E24" t="n">
        <v>7</v>
      </c>
      <c r="F24" t="n">
        <v>4.5</v>
      </c>
      <c r="I24" t="n">
        <v>6</v>
      </c>
      <c r="J24" t="n">
        <v>-1</v>
      </c>
    </row>
    <row r="25">
      <c r="A25" t="inlineStr">
        <is>
          <t>Eclipses solares y lunares</t>
        </is>
      </c>
      <c r="B25" t="n">
        <v>4</v>
      </c>
      <c r="C25" t="n">
        <v>5.5</v>
      </c>
      <c r="D25" t="n">
        <v>6</v>
      </c>
      <c r="E25" t="n">
        <v>6</v>
      </c>
      <c r="I25" t="n">
        <v>5</v>
      </c>
      <c r="J25" t="n">
        <v>-1.5</v>
      </c>
    </row>
    <row r="26">
      <c r="A26" t="inlineStr">
        <is>
          <t>Límites de placas: convergentes, divergentes y transformantes</t>
        </is>
      </c>
      <c r="B26" t="n">
        <v>5</v>
      </c>
      <c r="C26" t="n">
        <v>6.5</v>
      </c>
      <c r="D26" t="n">
        <v>7</v>
      </c>
      <c r="E26" t="n">
        <v>7</v>
      </c>
      <c r="F26" t="n">
        <v>6.5</v>
      </c>
      <c r="I26" t="n">
        <v>6</v>
      </c>
      <c r="J26" t="n">
        <v>-1.5</v>
      </c>
    </row>
    <row r="27">
      <c r="A27" t="inlineStr">
        <is>
          <t>Origen del universo: el Big Bang</t>
        </is>
      </c>
      <c r="B27" t="n">
        <v>5</v>
      </c>
      <c r="C27" t="n">
        <v>6.5</v>
      </c>
      <c r="D27" t="n">
        <v>9</v>
      </c>
      <c r="E27" t="n">
        <v>9</v>
      </c>
      <c r="F27" t="n">
        <v>6.5</v>
      </c>
      <c r="I27" t="n">
        <v>6</v>
      </c>
      <c r="J27" t="n">
        <v>-1.5</v>
      </c>
    </row>
    <row r="28">
      <c r="A28" t="inlineStr">
        <is>
          <t>Cuencas hidrográficas y aguas superficiales</t>
        </is>
      </c>
      <c r="B28" t="n">
        <v>3</v>
      </c>
      <c r="C28" t="n">
        <v>4.75</v>
      </c>
      <c r="F28" t="n">
        <v>6.5</v>
      </c>
      <c r="I28" t="n">
        <v>3</v>
      </c>
      <c r="J28" t="n">
        <v>-1.75</v>
      </c>
    </row>
    <row r="29">
      <c r="A29" t="inlineStr">
        <is>
          <t>Traslación de la Tierra y el año</t>
        </is>
      </c>
      <c r="B29" t="n">
        <v>2</v>
      </c>
      <c r="C29" t="n">
        <v>3.75</v>
      </c>
      <c r="D29" t="n">
        <v>4</v>
      </c>
      <c r="E29" t="n">
        <v>5</v>
      </c>
      <c r="F29" t="n">
        <v>4.5</v>
      </c>
      <c r="G29" t="n">
        <v>3</v>
      </c>
      <c r="I29" t="n">
        <v>3</v>
      </c>
      <c r="J29" t="n">
        <v>-1.75</v>
      </c>
    </row>
    <row r="30">
      <c r="A30" t="inlineStr">
        <is>
          <t>Calentamiento global</t>
        </is>
      </c>
      <c r="B30" t="n">
        <v>7</v>
      </c>
      <c r="C30" t="n">
        <v>9</v>
      </c>
      <c r="D30" t="n">
        <v>7.5</v>
      </c>
      <c r="E30" t="n">
        <v>9</v>
      </c>
      <c r="G30" t="n">
        <v>6</v>
      </c>
      <c r="I30" t="n">
        <v>9</v>
      </c>
      <c r="J30" t="n">
        <v>-2</v>
      </c>
    </row>
    <row r="31">
      <c r="A31" t="inlineStr">
        <is>
          <t>Cambio climático: causas y efectos</t>
        </is>
      </c>
      <c r="B31" t="n">
        <v>7</v>
      </c>
      <c r="C31" t="n">
        <v>9</v>
      </c>
      <c r="D31" t="n">
        <v>7.5</v>
      </c>
      <c r="E31" t="n">
        <v>9</v>
      </c>
      <c r="G31" t="n">
        <v>6</v>
      </c>
      <c r="I31" t="n">
        <v>9</v>
      </c>
      <c r="J31" t="n">
        <v>-2</v>
      </c>
    </row>
    <row r="32">
      <c r="A32" t="inlineStr">
        <is>
          <t>El Sol como estrella</t>
        </is>
      </c>
      <c r="B32" t="n">
        <v>4</v>
      </c>
      <c r="C32" t="n">
        <v>6</v>
      </c>
      <c r="D32" t="n">
        <v>6</v>
      </c>
      <c r="G32" t="n">
        <v>6</v>
      </c>
      <c r="H32" t="n">
        <v>6</v>
      </c>
      <c r="J32" t="n">
        <v>-2</v>
      </c>
    </row>
    <row r="33">
      <c r="A33" t="inlineStr">
        <is>
          <t>La atmósfera y su composición</t>
        </is>
      </c>
      <c r="B33" t="n">
        <v>3</v>
      </c>
      <c r="C33" t="n">
        <v>5</v>
      </c>
      <c r="D33" t="n">
        <v>5.5</v>
      </c>
      <c r="F33" t="n">
        <v>4.5</v>
      </c>
      <c r="G33" t="n">
        <v>6</v>
      </c>
      <c r="H33" t="n">
        <v>5</v>
      </c>
      <c r="I33" t="n">
        <v>5</v>
      </c>
      <c r="J33" t="n">
        <v>-2</v>
      </c>
    </row>
    <row r="34">
      <c r="A34" t="inlineStr">
        <is>
          <t>Tiempo geológico y datación</t>
        </is>
      </c>
      <c r="B34" t="n">
        <v>5</v>
      </c>
      <c r="C34" t="n">
        <v>7</v>
      </c>
      <c r="D34" t="n">
        <v>7</v>
      </c>
      <c r="E34" t="n">
        <v>7</v>
      </c>
      <c r="F34" t="n">
        <v>8.5</v>
      </c>
      <c r="I34" t="n">
        <v>6</v>
      </c>
      <c r="J34" t="n">
        <v>-2</v>
      </c>
    </row>
    <row r="35">
      <c r="A35" t="inlineStr">
        <is>
          <t>Exploración espacial</t>
        </is>
      </c>
      <c r="B35" t="n">
        <v>4</v>
      </c>
      <c r="C35" t="n">
        <v>6.25</v>
      </c>
      <c r="F35" t="n">
        <v>6.5</v>
      </c>
      <c r="I35" t="n">
        <v>6</v>
      </c>
      <c r="J35" t="n">
        <v>-2.25</v>
      </c>
    </row>
    <row r="36">
      <c r="A36" t="inlineStr">
        <is>
          <t>Capas internas de la Tierra</t>
        </is>
      </c>
      <c r="B36" t="n">
        <v>3</v>
      </c>
      <c r="C36" t="n">
        <v>5.5</v>
      </c>
      <c r="D36" t="n">
        <v>6</v>
      </c>
      <c r="G36" t="n">
        <v>6</v>
      </c>
      <c r="I36" t="n">
        <v>5</v>
      </c>
      <c r="J36" t="n">
        <v>-2.5</v>
      </c>
    </row>
    <row r="37">
      <c r="A37" t="inlineStr">
        <is>
          <t>Inclinación del eje terrestre y estaciones astronómicas</t>
        </is>
      </c>
      <c r="B37" t="n">
        <v>2</v>
      </c>
      <c r="C37" t="n">
        <v>4.75</v>
      </c>
      <c r="D37" t="n">
        <v>5.5</v>
      </c>
      <c r="E37" t="n">
        <v>5</v>
      </c>
      <c r="F37" t="n">
        <v>4.5</v>
      </c>
      <c r="G37" t="n">
        <v>6</v>
      </c>
      <c r="I37" t="n">
        <v>3</v>
      </c>
      <c r="J37" t="n">
        <v>-2.75</v>
      </c>
    </row>
    <row r="38">
      <c r="A38" t="inlineStr">
        <is>
          <t>Recursos naturales renovables y no renovables</t>
        </is>
      </c>
      <c r="B38" t="n">
        <v>2</v>
      </c>
      <c r="C38" t="n">
        <v>5.25</v>
      </c>
      <c r="D38" t="n">
        <v>6</v>
      </c>
      <c r="F38" t="n">
        <v>4.5</v>
      </c>
      <c r="G38" t="n">
        <v>6</v>
      </c>
      <c r="J38" t="n">
        <v>-3.25</v>
      </c>
    </row>
    <row r="39">
      <c r="A39" t="inlineStr">
        <is>
          <t>Ciclo de las rocas</t>
        </is>
      </c>
      <c r="B39" t="n">
        <v>3</v>
      </c>
      <c r="C39" t="n">
        <v>6.5</v>
      </c>
      <c r="D39" t="n">
        <v>6.5</v>
      </c>
      <c r="E39" t="n">
        <v>7</v>
      </c>
      <c r="G39" t="n">
        <v>6</v>
      </c>
      <c r="J39" t="n">
        <v>-3.5</v>
      </c>
    </row>
    <row r="40">
      <c r="A40" t="inlineStr">
        <is>
          <t>Fuentes de energía renovables y no renovables</t>
        </is>
      </c>
      <c r="B40" t="n">
        <v>2</v>
      </c>
      <c r="C40" t="n">
        <v>6.25</v>
      </c>
      <c r="D40" t="n">
        <v>6</v>
      </c>
      <c r="F40" t="n">
        <v>6.5</v>
      </c>
      <c r="G40" t="n">
        <v>6</v>
      </c>
      <c r="H40" t="n">
        <v>6</v>
      </c>
      <c r="I40" t="n">
        <v>9</v>
      </c>
      <c r="J40" t="n">
        <v>-4.25</v>
      </c>
    </row>
    <row r="41">
      <c r="A41" t="inlineStr">
        <is>
          <t>Sismos y fallas geológicas</t>
        </is>
      </c>
      <c r="B41" t="n">
        <v>2</v>
      </c>
      <c r="C41" t="n">
        <v>6.25</v>
      </c>
      <c r="F41" t="n">
        <v>6.5</v>
      </c>
      <c r="I41" t="n">
        <v>6</v>
      </c>
      <c r="J41" t="n">
        <v>-4.25</v>
      </c>
    </row>
    <row r="42">
      <c r="A42" t="inlineStr">
        <is>
          <t>Conservación de recursos, residuos y sostenibilidad</t>
        </is>
      </c>
      <c r="B42" t="n">
        <v>2</v>
      </c>
      <c r="C42" t="n">
        <v>6.5</v>
      </c>
      <c r="D42" t="n">
        <v>6</v>
      </c>
      <c r="G42" t="n">
        <v>6</v>
      </c>
      <c r="I42" t="n">
        <v>7</v>
      </c>
      <c r="J42" t="n">
        <v>-4.5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COUNTA(Oportunidad!A2:A42)</f>
        <v/>
      </c>
    </row>
    <row r="3">
      <c r="A3" t="inlineStr">
        <is>
          <t>Llegan 2 o más grados tarde</t>
        </is>
      </c>
      <c r="B3">
        <f>COUNTIF(Oportunidad!J2:J42,"&gt;=2")</f>
        <v/>
      </c>
    </row>
    <row r="4">
      <c r="A4" t="inlineStr">
        <is>
          <t>Llegan 2 o más grados antes</t>
        </is>
      </c>
      <c r="B4">
        <f>COUNTIF(Oportunidad!J2:J42,"&lt;=-2")</f>
        <v/>
      </c>
    </row>
    <row r="5">
      <c r="A5" t="inlineStr">
        <is>
          <t>Oportunidad promedio (grados)</t>
        </is>
      </c>
      <c r="B5">
        <f>AVERAGE(Oportunidad!J2:J42)</f>
        <v/>
      </c>
    </row>
    <row r="6">
      <c r="A6" t="inlineStr">
        <is>
          <t>Errores de secuencia (todos)</t>
        </is>
      </c>
      <c r="B6" t="n">
        <v>34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2026-10-05T20:37:01Z</dcterms:created>
  <dcterms:modified xsi:type="dcterms:W3CDTF">2026-10-05T20:37:01Z</dcterms:modified>
</cp:coreProperties>
</file>