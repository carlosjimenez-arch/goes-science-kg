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Concepto</t>
        </is>
      </c>
      <c r="B1" s="1" t="inlineStr">
        <is>
          <t>Primer grado SV</t>
        </is>
      </c>
      <c r="C1" s="1" t="inlineStr">
        <is>
          <t>Mediana países</t>
        </is>
      </c>
      <c r="D1" s="1" t="inlineStr">
        <is>
          <t>Mediana alto desempeño</t>
        </is>
      </c>
      <c r="E1" s="1" t="inlineStr">
        <is>
          <t>AU</t>
        </is>
      </c>
      <c r="F1" s="1" t="inlineStr">
        <is>
          <t>CO</t>
        </is>
      </c>
      <c r="G1" s="1" t="inlineStr">
        <is>
          <t>ENG</t>
        </is>
      </c>
      <c r="H1" s="1" t="inlineStr">
        <is>
          <t>JP</t>
        </is>
      </c>
      <c r="I1" s="1" t="inlineStr">
        <is>
          <t>SG</t>
        </is>
      </c>
      <c r="J1" s="1" t="inlineStr">
        <is>
          <t>UY</t>
        </is>
      </c>
      <c r="K1" s="1" t="inlineStr">
        <is>
          <t>Oportunidad</t>
        </is>
      </c>
    </row>
    <row r="2">
      <c r="A2" t="inlineStr">
        <is>
          <t>Corrientes oceánicas superficiales y profundas</t>
        </is>
      </c>
      <c r="B2" t="n">
        <v>9</v>
      </c>
      <c r="C2" t="n">
        <v>4.75</v>
      </c>
      <c r="F2" t="n">
        <v>4.5</v>
      </c>
      <c r="J2" t="n">
        <v>5</v>
      </c>
      <c r="K2" t="n">
        <v>4.25</v>
      </c>
    </row>
    <row r="3">
      <c r="A3" t="inlineStr">
        <is>
          <t>Ciclo del agua</t>
        </is>
      </c>
      <c r="B3" t="n">
        <v>7</v>
      </c>
      <c r="C3" t="n">
        <v>3</v>
      </c>
      <c r="D3" t="n">
        <v>3</v>
      </c>
      <c r="E3" t="n">
        <v>3</v>
      </c>
      <c r="G3" t="n">
        <v>2</v>
      </c>
      <c r="H3" t="n">
        <v>3</v>
      </c>
      <c r="I3" t="n">
        <v>5</v>
      </c>
      <c r="J3" t="n">
        <v>3</v>
      </c>
      <c r="K3" t="n">
        <v>4</v>
      </c>
    </row>
    <row r="4">
      <c r="A4" t="inlineStr">
        <is>
          <t>Minerales y sus propiedades</t>
        </is>
      </c>
      <c r="B4" t="n">
        <v>8</v>
      </c>
      <c r="C4" t="n">
        <v>4</v>
      </c>
      <c r="D4" t="n">
        <v>4</v>
      </c>
      <c r="E4" t="n">
        <v>2</v>
      </c>
      <c r="G4" t="n">
        <v>6</v>
      </c>
      <c r="K4" t="n">
        <v>4</v>
      </c>
    </row>
    <row r="5">
      <c r="A5" t="inlineStr">
        <is>
          <t>Calidad del aire y contaminación atmosférica</t>
        </is>
      </c>
      <c r="B5" t="n">
        <v>7</v>
      </c>
      <c r="C5" t="n">
        <v>5</v>
      </c>
      <c r="D5" t="n">
        <v>8.5</v>
      </c>
      <c r="F5" t="n">
        <v>4.5</v>
      </c>
      <c r="G5" t="n">
        <v>8.5</v>
      </c>
      <c r="J5" t="n">
        <v>5</v>
      </c>
      <c r="K5" t="n">
        <v>2</v>
      </c>
    </row>
    <row r="6">
      <c r="A6" t="inlineStr">
        <is>
          <t>Suelo: formación, componentes y tipos</t>
        </is>
      </c>
      <c r="B6" t="n">
        <v>5</v>
      </c>
      <c r="C6" t="n">
        <v>3</v>
      </c>
      <c r="D6" t="n">
        <v>2</v>
      </c>
      <c r="E6" t="n">
        <v>2</v>
      </c>
      <c r="F6" t="n">
        <v>6.5</v>
      </c>
      <c r="G6" t="n">
        <v>2</v>
      </c>
      <c r="H6" t="n">
        <v>3</v>
      </c>
      <c r="J6" t="n">
        <v>3</v>
      </c>
      <c r="K6" t="n">
        <v>2</v>
      </c>
    </row>
    <row r="7">
      <c r="A7" t="inlineStr">
        <is>
          <t>Ciclo del carbono en los sistemas terrestres</t>
        </is>
      </c>
      <c r="B7" t="n">
        <v>8</v>
      </c>
      <c r="C7" t="n">
        <v>6.25</v>
      </c>
      <c r="D7" t="n">
        <v>6</v>
      </c>
      <c r="E7" t="n">
        <v>8</v>
      </c>
      <c r="F7" t="n">
        <v>6.5</v>
      </c>
      <c r="G7" t="n">
        <v>6</v>
      </c>
      <c r="H7" t="n">
        <v>5</v>
      </c>
      <c r="K7" t="n">
        <v>1.75</v>
      </c>
    </row>
    <row r="8">
      <c r="A8" t="inlineStr">
        <is>
          <t>Erosión, transporte y sedimentación</t>
        </is>
      </c>
      <c r="B8" t="n">
        <v>5</v>
      </c>
      <c r="C8" t="n">
        <v>4</v>
      </c>
      <c r="D8" t="n">
        <v>4</v>
      </c>
      <c r="E8" t="n">
        <v>4</v>
      </c>
      <c r="F8" t="n">
        <v>4.5</v>
      </c>
      <c r="H8" t="n">
        <v>4</v>
      </c>
      <c r="J8" t="n">
        <v>3</v>
      </c>
      <c r="K8" t="n">
        <v>1</v>
      </c>
    </row>
    <row r="9">
      <c r="A9" t="inlineStr">
        <is>
          <t>La Luna: características y origen</t>
        </is>
      </c>
      <c r="B9" t="n">
        <v>4</v>
      </c>
      <c r="C9" t="n">
        <v>3</v>
      </c>
      <c r="D9" t="n">
        <v>3</v>
      </c>
      <c r="F9" t="n">
        <v>2</v>
      </c>
      <c r="G9" t="n">
        <v>3</v>
      </c>
      <c r="J9" t="n">
        <v>4</v>
      </c>
      <c r="K9" t="n">
        <v>1</v>
      </c>
    </row>
    <row r="10">
      <c r="A10" t="inlineStr">
        <is>
          <t>Tipos de rocas: ígneas, sedimentarias y metamórficas</t>
        </is>
      </c>
      <c r="B10" t="n">
        <v>3</v>
      </c>
      <c r="C10" t="n">
        <v>2</v>
      </c>
      <c r="D10" t="n">
        <v>2</v>
      </c>
      <c r="E10" t="n">
        <v>2</v>
      </c>
      <c r="G10" t="n">
        <v>2</v>
      </c>
      <c r="H10" t="n">
        <v>6</v>
      </c>
      <c r="K10" t="n">
        <v>1</v>
      </c>
    </row>
    <row r="11">
      <c r="A11" t="inlineStr">
        <is>
          <t>Calentamiento desigual de la Tierra y circulación atmosférica</t>
        </is>
      </c>
      <c r="B11" t="n">
        <v>8</v>
      </c>
      <c r="C11" t="n">
        <v>8</v>
      </c>
      <c r="D11" t="n">
        <v>8</v>
      </c>
      <c r="E11" t="n">
        <v>9</v>
      </c>
      <c r="H11" t="n">
        <v>7</v>
      </c>
      <c r="K11" t="n">
        <v>0</v>
      </c>
    </row>
    <row r="12">
      <c r="A12" t="inlineStr">
        <is>
          <t>Cuencas hidrográficas y aguas superficiales</t>
        </is>
      </c>
      <c r="B12" t="n">
        <v>3</v>
      </c>
      <c r="C12" t="n">
        <v>3</v>
      </c>
      <c r="D12" t="n">
        <v>3</v>
      </c>
      <c r="F12" t="n">
        <v>6.5</v>
      </c>
      <c r="H12" t="n">
        <v>3</v>
      </c>
      <c r="J12" t="n">
        <v>3</v>
      </c>
      <c r="K12" t="n">
        <v>0</v>
      </c>
    </row>
    <row r="13">
      <c r="A13" t="inlineStr">
        <is>
          <t>Efecto invernadero</t>
        </is>
      </c>
      <c r="B13" t="n">
        <v>7</v>
      </c>
      <c r="C13" t="n">
        <v>7</v>
      </c>
      <c r="D13" t="n">
        <v>8.5</v>
      </c>
      <c r="F13" t="n">
        <v>4.5</v>
      </c>
      <c r="G13" t="n">
        <v>8.5</v>
      </c>
      <c r="J13" t="n">
        <v>7</v>
      </c>
      <c r="K13" t="n">
        <v>0</v>
      </c>
    </row>
    <row r="14">
      <c r="A14" t="inlineStr">
        <is>
          <t>El sistema solar y el modelo heliocéntrico</t>
        </is>
      </c>
      <c r="B14" t="n">
        <v>4</v>
      </c>
      <c r="C14" t="n">
        <v>4</v>
      </c>
      <c r="D14" t="n">
        <v>3</v>
      </c>
      <c r="E14" t="n">
        <v>2</v>
      </c>
      <c r="F14" t="n">
        <v>4.5</v>
      </c>
      <c r="G14" t="n">
        <v>3</v>
      </c>
      <c r="H14" t="n">
        <v>8</v>
      </c>
      <c r="J14" t="n">
        <v>4</v>
      </c>
      <c r="K14" t="n">
        <v>0</v>
      </c>
    </row>
    <row r="15">
      <c r="A15" t="inlineStr">
        <is>
          <t>Estrellas y nebulosas</t>
        </is>
      </c>
      <c r="B15" t="n">
        <v>5</v>
      </c>
      <c r="C15" t="n">
        <v>5</v>
      </c>
      <c r="D15" t="n">
        <v>4.5</v>
      </c>
      <c r="F15" t="n">
        <v>6.5</v>
      </c>
      <c r="G15" t="n">
        <v>6</v>
      </c>
      <c r="H15" t="n">
        <v>3</v>
      </c>
      <c r="J15" t="n">
        <v>4</v>
      </c>
      <c r="K15" t="n">
        <v>0</v>
      </c>
    </row>
    <row r="16">
      <c r="A16" t="inlineStr">
        <is>
          <t>Fases de la Luna</t>
        </is>
      </c>
      <c r="B16" t="n">
        <v>4</v>
      </c>
      <c r="C16" t="n">
        <v>4</v>
      </c>
      <c r="D16" t="n">
        <v>3</v>
      </c>
      <c r="F16" t="n">
        <v>4</v>
      </c>
      <c r="H16" t="n">
        <v>3</v>
      </c>
      <c r="J16" t="n">
        <v>5</v>
      </c>
      <c r="K16" t="n">
        <v>0</v>
      </c>
    </row>
    <row r="17">
      <c r="A17" t="inlineStr">
        <is>
          <t>Impacto de las actividades humanas en los recursos</t>
        </is>
      </c>
      <c r="B17" t="n">
        <v>5</v>
      </c>
      <c r="C17" t="n">
        <v>5</v>
      </c>
      <c r="D17" t="n">
        <v>6.5</v>
      </c>
      <c r="F17" t="n">
        <v>4.5</v>
      </c>
      <c r="H17" t="n">
        <v>8</v>
      </c>
      <c r="I17" t="n">
        <v>5</v>
      </c>
      <c r="K17" t="n">
        <v>0</v>
      </c>
    </row>
    <row r="18">
      <c r="A18" t="inlineStr">
        <is>
          <t>Patrones estacionales: época seca y lluviosa</t>
        </is>
      </c>
      <c r="B18" t="n">
        <v>2</v>
      </c>
      <c r="C18" t="n">
        <v>2</v>
      </c>
      <c r="D18" t="n">
        <v>2</v>
      </c>
      <c r="E18" t="n">
        <v>2</v>
      </c>
      <c r="G18" t="n">
        <v>2</v>
      </c>
      <c r="H18" t="n">
        <v>7</v>
      </c>
      <c r="K18" t="n">
        <v>0</v>
      </c>
    </row>
    <row r="19">
      <c r="A19" t="inlineStr">
        <is>
          <t>Rotación de la Tierra: día, noche y sombras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3</v>
      </c>
      <c r="H19" t="n">
        <v>2</v>
      </c>
      <c r="J19" t="n">
        <v>3</v>
      </c>
      <c r="K19" t="n">
        <v>0</v>
      </c>
    </row>
    <row r="20">
      <c r="A20" t="inlineStr">
        <is>
          <t>Aguas subterráneas y acuíferos</t>
        </is>
      </c>
      <c r="B20" t="n">
        <v>3</v>
      </c>
      <c r="C20" t="n">
        <v>3.5</v>
      </c>
      <c r="D20" t="n">
        <v>3</v>
      </c>
      <c r="H20" t="n">
        <v>3</v>
      </c>
      <c r="J20" t="n">
        <v>4</v>
      </c>
      <c r="K20" t="n">
        <v>-0.5</v>
      </c>
    </row>
    <row r="21">
      <c r="A21" t="inlineStr">
        <is>
          <t>Clima: diferencia con el tiempo, tipos y factores</t>
        </is>
      </c>
      <c r="B21" t="n">
        <v>4</v>
      </c>
      <c r="C21" t="n">
        <v>4.5</v>
      </c>
      <c r="D21" t="n">
        <v>7</v>
      </c>
      <c r="F21" t="n">
        <v>2</v>
      </c>
      <c r="H21" t="n">
        <v>7</v>
      </c>
      <c r="K21" t="n">
        <v>-0.5</v>
      </c>
    </row>
    <row r="22">
      <c r="A22" t="inlineStr">
        <is>
          <t>Fósiles y su formación</t>
        </is>
      </c>
      <c r="B22" t="n">
        <v>3</v>
      </c>
      <c r="C22" t="n">
        <v>3.5</v>
      </c>
      <c r="D22" t="n">
        <v>3.5</v>
      </c>
      <c r="F22" t="n">
        <v>2</v>
      </c>
      <c r="G22" t="n">
        <v>2</v>
      </c>
      <c r="H22" t="n">
        <v>5</v>
      </c>
      <c r="J22" t="n">
        <v>6</v>
      </c>
      <c r="K22" t="n">
        <v>-0.5</v>
      </c>
    </row>
    <row r="23">
      <c r="A23" t="inlineStr">
        <is>
          <t>Tiempo atmosférico y sus variables</t>
        </is>
      </c>
      <c r="B23" t="n">
        <v>2</v>
      </c>
      <c r="C23" t="n">
        <v>2.5</v>
      </c>
      <c r="D23" t="n">
        <v>2</v>
      </c>
      <c r="E23" t="n">
        <v>2</v>
      </c>
      <c r="F23" t="n">
        <v>8.5</v>
      </c>
      <c r="G23" t="n">
        <v>2</v>
      </c>
      <c r="H23" t="n">
        <v>3</v>
      </c>
      <c r="K23" t="n">
        <v>-0.5</v>
      </c>
    </row>
    <row r="24">
      <c r="A24" t="inlineStr">
        <is>
          <t>Deriva continental y expansión del fondo oceánico</t>
        </is>
      </c>
      <c r="B24" t="n">
        <v>5</v>
      </c>
      <c r="C24" t="n">
        <v>6</v>
      </c>
      <c r="D24" t="n">
        <v>7</v>
      </c>
      <c r="E24" t="n">
        <v>7</v>
      </c>
      <c r="J24" t="n">
        <v>5</v>
      </c>
      <c r="K24" t="n">
        <v>-1</v>
      </c>
    </row>
    <row r="25">
      <c r="A25" t="inlineStr">
        <is>
          <t>Galaxias y escala del universo</t>
        </is>
      </c>
      <c r="B25" t="n">
        <v>5</v>
      </c>
      <c r="C25" t="n">
        <v>6</v>
      </c>
      <c r="D25" t="n">
        <v>6</v>
      </c>
      <c r="G25" t="n">
        <v>6</v>
      </c>
      <c r="J25" t="n">
        <v>6</v>
      </c>
      <c r="K25" t="n">
        <v>-1</v>
      </c>
    </row>
    <row r="26">
      <c r="A26" t="inlineStr">
        <is>
          <t>Hidrosfera: distribución del agua dulce y salada</t>
        </is>
      </c>
      <c r="B26" t="n">
        <v>3</v>
      </c>
      <c r="C26" t="n">
        <v>4</v>
      </c>
      <c r="D26" t="n">
        <v>3</v>
      </c>
      <c r="E26" t="n">
        <v>3</v>
      </c>
      <c r="F26" t="n">
        <v>6.5</v>
      </c>
      <c r="J26" t="n">
        <v>4</v>
      </c>
      <c r="K26" t="n">
        <v>-1</v>
      </c>
    </row>
    <row r="27">
      <c r="A27" t="inlineStr">
        <is>
          <t>Mareas</t>
        </is>
      </c>
      <c r="B27" t="n">
        <v>4</v>
      </c>
      <c r="C27" t="n">
        <v>5</v>
      </c>
      <c r="D27" t="n">
        <v>6</v>
      </c>
      <c r="E27" t="n">
        <v>6</v>
      </c>
      <c r="F27" t="n">
        <v>4.5</v>
      </c>
      <c r="J27" t="n">
        <v>5</v>
      </c>
      <c r="K27" t="n">
        <v>-1</v>
      </c>
    </row>
    <row r="28">
      <c r="A28" t="inlineStr">
        <is>
          <t>Tectónica de placas</t>
        </is>
      </c>
      <c r="B28" t="n">
        <v>5</v>
      </c>
      <c r="C28" t="n">
        <v>6</v>
      </c>
      <c r="D28" t="n">
        <v>6.5</v>
      </c>
      <c r="E28" t="n">
        <v>7</v>
      </c>
      <c r="F28" t="n">
        <v>4.5</v>
      </c>
      <c r="H28" t="n">
        <v>6</v>
      </c>
      <c r="J28" t="n">
        <v>6</v>
      </c>
      <c r="K28" t="n">
        <v>-1</v>
      </c>
    </row>
    <row r="29">
      <c r="A29" t="inlineStr">
        <is>
          <t>Origen del magma y vulcanismo</t>
        </is>
      </c>
      <c r="B29" t="n">
        <v>5</v>
      </c>
      <c r="C29" t="n">
        <v>6.25</v>
      </c>
      <c r="D29" t="n">
        <v>6</v>
      </c>
      <c r="F29" t="n">
        <v>6.5</v>
      </c>
      <c r="H29" t="n">
        <v>6</v>
      </c>
      <c r="K29" t="n">
        <v>-1.25</v>
      </c>
    </row>
    <row r="30">
      <c r="A30" t="inlineStr">
        <is>
          <t>Campo magnético terrestre</t>
        </is>
      </c>
      <c r="B30" t="n">
        <v>5</v>
      </c>
      <c r="C30" t="n">
        <v>6.5</v>
      </c>
      <c r="D30" t="n">
        <v>6.5</v>
      </c>
      <c r="G30" t="n">
        <v>6</v>
      </c>
      <c r="H30" t="n">
        <v>7</v>
      </c>
      <c r="K30" t="n">
        <v>-1.5</v>
      </c>
    </row>
    <row r="31">
      <c r="A31" t="inlineStr">
        <is>
          <t>Eclipses solares y lunares</t>
        </is>
      </c>
      <c r="B31" t="n">
        <v>4</v>
      </c>
      <c r="C31" t="n">
        <v>5.5</v>
      </c>
      <c r="D31" t="n">
        <v>6</v>
      </c>
      <c r="E31" t="n">
        <v>6</v>
      </c>
      <c r="J31" t="n">
        <v>5</v>
      </c>
      <c r="K31" t="n">
        <v>-1.5</v>
      </c>
    </row>
    <row r="32">
      <c r="A32" t="inlineStr">
        <is>
          <t>Límites de placas: convergentes, divergentes y transformantes</t>
        </is>
      </c>
      <c r="B32" t="n">
        <v>5</v>
      </c>
      <c r="C32" t="n">
        <v>6.5</v>
      </c>
      <c r="D32" t="n">
        <v>7</v>
      </c>
      <c r="E32" t="n">
        <v>7</v>
      </c>
      <c r="F32" t="n">
        <v>6.5</v>
      </c>
      <c r="J32" t="n">
        <v>6</v>
      </c>
      <c r="K32" t="n">
        <v>-1.5</v>
      </c>
    </row>
    <row r="33">
      <c r="A33" t="inlineStr">
        <is>
          <t>Origen del universo: el Big Bang</t>
        </is>
      </c>
      <c r="B33" t="n">
        <v>5</v>
      </c>
      <c r="C33" t="n">
        <v>6.5</v>
      </c>
      <c r="D33" t="n">
        <v>9</v>
      </c>
      <c r="E33" t="n">
        <v>9</v>
      </c>
      <c r="F33" t="n">
        <v>6.5</v>
      </c>
      <c r="J33" t="n">
        <v>6</v>
      </c>
      <c r="K33" t="n">
        <v>-1.5</v>
      </c>
    </row>
    <row r="34">
      <c r="A34" t="inlineStr">
        <is>
          <t>Tiempo geológico y datación</t>
        </is>
      </c>
      <c r="B34" t="n">
        <v>5</v>
      </c>
      <c r="C34" t="n">
        <v>6.5</v>
      </c>
      <c r="D34" t="n">
        <v>6.5</v>
      </c>
      <c r="E34" t="n">
        <v>7</v>
      </c>
      <c r="F34" t="n">
        <v>8.5</v>
      </c>
      <c r="H34" t="n">
        <v>6</v>
      </c>
      <c r="J34" t="n">
        <v>6</v>
      </c>
      <c r="K34" t="n">
        <v>-1.5</v>
      </c>
    </row>
    <row r="35">
      <c r="A35" t="inlineStr">
        <is>
          <t>Calentamiento global</t>
        </is>
      </c>
      <c r="B35" t="n">
        <v>7</v>
      </c>
      <c r="C35" t="n">
        <v>9</v>
      </c>
      <c r="D35" t="n">
        <v>7.5</v>
      </c>
      <c r="E35" t="n">
        <v>9</v>
      </c>
      <c r="G35" t="n">
        <v>6</v>
      </c>
      <c r="J35" t="n">
        <v>9</v>
      </c>
      <c r="K35" t="n">
        <v>-2</v>
      </c>
    </row>
    <row r="36">
      <c r="A36" t="inlineStr">
        <is>
          <t>Cambio climático: causas y efectos</t>
        </is>
      </c>
      <c r="B36" t="n">
        <v>7</v>
      </c>
      <c r="C36" t="n">
        <v>9</v>
      </c>
      <c r="D36" t="n">
        <v>7.5</v>
      </c>
      <c r="E36" t="n">
        <v>9</v>
      </c>
      <c r="G36" t="n">
        <v>6</v>
      </c>
      <c r="J36" t="n">
        <v>9</v>
      </c>
      <c r="K36" t="n">
        <v>-2</v>
      </c>
    </row>
    <row r="37">
      <c r="A37" t="inlineStr">
        <is>
          <t>La atmósfera y su composición</t>
        </is>
      </c>
      <c r="B37" t="n">
        <v>3</v>
      </c>
      <c r="C37" t="n">
        <v>5</v>
      </c>
      <c r="D37" t="n">
        <v>5.5</v>
      </c>
      <c r="F37" t="n">
        <v>4.5</v>
      </c>
      <c r="G37" t="n">
        <v>6</v>
      </c>
      <c r="I37" t="n">
        <v>5</v>
      </c>
      <c r="J37" t="n">
        <v>5</v>
      </c>
      <c r="K37" t="n">
        <v>-2</v>
      </c>
    </row>
    <row r="38">
      <c r="A38" t="inlineStr">
        <is>
          <t>Exploración espacial</t>
        </is>
      </c>
      <c r="B38" t="n">
        <v>4</v>
      </c>
      <c r="C38" t="n">
        <v>6.25</v>
      </c>
      <c r="F38" t="n">
        <v>6.5</v>
      </c>
      <c r="J38" t="n">
        <v>6</v>
      </c>
      <c r="K38" t="n">
        <v>-2.25</v>
      </c>
    </row>
    <row r="39">
      <c r="A39" t="inlineStr">
        <is>
          <t>Capas internas de la Tierra</t>
        </is>
      </c>
      <c r="B39" t="n">
        <v>3</v>
      </c>
      <c r="C39" t="n">
        <v>5.5</v>
      </c>
      <c r="D39" t="n">
        <v>6</v>
      </c>
      <c r="G39" t="n">
        <v>6</v>
      </c>
      <c r="J39" t="n">
        <v>5</v>
      </c>
      <c r="K39" t="n">
        <v>-2.5</v>
      </c>
    </row>
    <row r="40">
      <c r="A40" t="inlineStr">
        <is>
          <t>Traslación de la Tierra y el año</t>
        </is>
      </c>
      <c r="B40" t="n">
        <v>2</v>
      </c>
      <c r="C40" t="n">
        <v>4.5</v>
      </c>
      <c r="D40" t="n">
        <v>5</v>
      </c>
      <c r="E40" t="n">
        <v>5</v>
      </c>
      <c r="F40" t="n">
        <v>4.5</v>
      </c>
      <c r="G40" t="n">
        <v>3</v>
      </c>
      <c r="H40" t="n">
        <v>8</v>
      </c>
      <c r="J40" t="n">
        <v>3</v>
      </c>
      <c r="K40" t="n">
        <v>-2.5</v>
      </c>
    </row>
    <row r="41">
      <c r="A41" t="inlineStr">
        <is>
          <t>Inclinación del eje terrestre y estaciones astronómicas</t>
        </is>
      </c>
      <c r="B41" t="n">
        <v>2</v>
      </c>
      <c r="C41" t="n">
        <v>5</v>
      </c>
      <c r="D41" t="n">
        <v>6</v>
      </c>
      <c r="E41" t="n">
        <v>5</v>
      </c>
      <c r="F41" t="n">
        <v>4.5</v>
      </c>
      <c r="G41" t="n">
        <v>6</v>
      </c>
      <c r="H41" t="n">
        <v>8</v>
      </c>
      <c r="J41" t="n">
        <v>3</v>
      </c>
      <c r="K41" t="n">
        <v>-3</v>
      </c>
    </row>
    <row r="42">
      <c r="A42" t="inlineStr">
        <is>
          <t>Recursos naturales renovables y no renovables</t>
        </is>
      </c>
      <c r="B42" t="n">
        <v>2</v>
      </c>
      <c r="C42" t="n">
        <v>5.25</v>
      </c>
      <c r="D42" t="n">
        <v>6</v>
      </c>
      <c r="F42" t="n">
        <v>4.5</v>
      </c>
      <c r="G42" t="n">
        <v>6</v>
      </c>
      <c r="K42" t="n">
        <v>-3.25</v>
      </c>
    </row>
    <row r="43">
      <c r="A43" t="inlineStr">
        <is>
          <t>Ciclo de las rocas</t>
        </is>
      </c>
      <c r="B43" t="n">
        <v>3</v>
      </c>
      <c r="C43" t="n">
        <v>6.5</v>
      </c>
      <c r="D43" t="n">
        <v>6.5</v>
      </c>
      <c r="E43" t="n">
        <v>7</v>
      </c>
      <c r="G43" t="n">
        <v>6</v>
      </c>
      <c r="K43" t="n">
        <v>-3.5</v>
      </c>
    </row>
    <row r="44">
      <c r="A44" t="inlineStr">
        <is>
          <t>El Sol como estrella</t>
        </is>
      </c>
      <c r="B44" t="n">
        <v>2</v>
      </c>
      <c r="C44" t="n">
        <v>6</v>
      </c>
      <c r="D44" t="n">
        <v>6</v>
      </c>
      <c r="G44" t="n">
        <v>6</v>
      </c>
      <c r="H44" t="n">
        <v>8</v>
      </c>
      <c r="I44" t="n">
        <v>6</v>
      </c>
      <c r="K44" t="n">
        <v>-4</v>
      </c>
    </row>
    <row r="45">
      <c r="A45" t="inlineStr">
        <is>
          <t>Planetas: tipos y comparación</t>
        </is>
      </c>
      <c r="B45" t="n">
        <v>4</v>
      </c>
      <c r="C45" t="n">
        <v>8</v>
      </c>
      <c r="D45" t="n">
        <v>8.25</v>
      </c>
      <c r="F45" t="n">
        <v>4.5</v>
      </c>
      <c r="G45" t="n">
        <v>8.5</v>
      </c>
      <c r="H45" t="n">
        <v>8</v>
      </c>
      <c r="K45" t="n">
        <v>-4</v>
      </c>
    </row>
    <row r="46">
      <c r="A46" t="inlineStr">
        <is>
          <t>Sismos y fallas geológicas</t>
        </is>
      </c>
      <c r="B46" t="n">
        <v>2</v>
      </c>
      <c r="C46" t="n">
        <v>6</v>
      </c>
      <c r="D46" t="n">
        <v>5</v>
      </c>
      <c r="F46" t="n">
        <v>6.5</v>
      </c>
      <c r="H46" t="n">
        <v>5</v>
      </c>
      <c r="J46" t="n">
        <v>6</v>
      </c>
      <c r="K46" t="n">
        <v>-4</v>
      </c>
    </row>
    <row r="47">
      <c r="A47" t="inlineStr">
        <is>
          <t>Registro fósil y cambios ambientales del pasado</t>
        </is>
      </c>
      <c r="B47" t="n">
        <v>3</v>
      </c>
      <c r="C47" t="n">
        <v>7.25</v>
      </c>
      <c r="D47" t="n">
        <v>6</v>
      </c>
      <c r="F47" t="n">
        <v>8.5</v>
      </c>
      <c r="H47" t="n">
        <v>6</v>
      </c>
      <c r="K47" t="n">
        <v>-4.25</v>
      </c>
    </row>
    <row r="48">
      <c r="A48" t="inlineStr">
        <is>
          <t>Fuentes de energía renovables y no renovables</t>
        </is>
      </c>
      <c r="B48" t="n">
        <v>2</v>
      </c>
      <c r="C48" t="n">
        <v>6.5</v>
      </c>
      <c r="D48" t="n">
        <v>6</v>
      </c>
      <c r="F48" t="n">
        <v>6.5</v>
      </c>
      <c r="G48" t="n">
        <v>6</v>
      </c>
      <c r="H48" t="n">
        <v>8</v>
      </c>
      <c r="I48" t="n">
        <v>6</v>
      </c>
      <c r="J48" t="n">
        <v>9</v>
      </c>
      <c r="K48" t="n">
        <v>-4.5</v>
      </c>
    </row>
    <row r="49">
      <c r="A49" t="inlineStr">
        <is>
          <t>Conservación de recursos, residuos y sostenibilidad</t>
        </is>
      </c>
      <c r="B49" t="n">
        <v>2</v>
      </c>
      <c r="C49" t="n">
        <v>7</v>
      </c>
      <c r="D49" t="n">
        <v>7</v>
      </c>
      <c r="G49" t="n">
        <v>6</v>
      </c>
      <c r="H49" t="n">
        <v>8</v>
      </c>
      <c r="J49" t="n">
        <v>7</v>
      </c>
      <c r="K49" t="n">
        <v>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Brechas · Ciencias de la Tierra y del Espacio</t>
        </is>
      </c>
      <c r="B1" s="1" t="inlineStr">
        <is>
          <t>Valor</t>
        </is>
      </c>
    </row>
    <row r="2">
      <c r="A2" t="inlineStr">
        <is>
          <t>Conceptos comparables con los países</t>
        </is>
      </c>
      <c r="B2">
        <f>COUNTA(Oportunidad!A2:A49)</f>
        <v/>
      </c>
    </row>
    <row r="3">
      <c r="A3" t="inlineStr">
        <is>
          <t>Llegan 2 o más grados tarde</t>
        </is>
      </c>
      <c r="B3">
        <f>COUNTIF(Oportunidad!K2:K49,"&gt;=2")</f>
        <v/>
      </c>
    </row>
    <row r="4">
      <c r="A4" t="inlineStr">
        <is>
          <t>Llegan 2 o más grados antes</t>
        </is>
      </c>
      <c r="B4">
        <f>COUNTIF(Oportunidad!K2:K49,"&lt;=-2")</f>
        <v/>
      </c>
    </row>
    <row r="5">
      <c r="A5" t="inlineStr">
        <is>
          <t>Oportunidad promedio (grados)</t>
        </is>
      </c>
      <c r="B5">
        <f>AVERAGE(Oportunidad!K2:K49)</f>
        <v/>
      </c>
    </row>
    <row r="6">
      <c r="A6" t="inlineStr">
        <is>
          <t>Errores de secuencia (todos)</t>
        </is>
      </c>
      <c r="B6" t="n">
        <v>35</v>
      </c>
    </row>
    <row r="7">
      <c r="A7" t="inlineStr">
        <is>
          <t>Errores de secuencia (confianza alta)</t>
        </is>
      </c>
      <c r="B7" t="n">
        <v>16</v>
      </c>
    </row>
    <row r="9">
      <c r="A9" t="inlineStr">
        <is>
          <t>Oportunidad = primer grado en El Salvador − mediana de los países de referencia (grado equivalente por edad de ingreso). Positivo: El Salvador llega tarde. Fuente: gskg brechas.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goes-science-kg</dc:creator>
  <dcterms:created xsi:type="dcterms:W3CDTF">2026-01-01T00:00:00Z</dcterms:created>
  <dcterms:modified xsi:type="dcterms:W3CDTF">2026-01-01T00:00:00Z</dcterms:modified>
</cp:coreProperties>
</file>