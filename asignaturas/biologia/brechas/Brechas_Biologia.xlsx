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Concepto</t>
        </is>
      </c>
      <c r="B1" s="1" t="inlineStr">
        <is>
          <t>Primer grado SV</t>
        </is>
      </c>
      <c r="C1" s="1" t="inlineStr">
        <is>
          <t>Mediana países</t>
        </is>
      </c>
      <c r="D1" s="1" t="inlineStr">
        <is>
          <t>Mediana alto desempeño</t>
        </is>
      </c>
      <c r="E1" s="1" t="inlineStr">
        <is>
          <t>AU</t>
        </is>
      </c>
      <c r="F1" s="1" t="inlineStr">
        <is>
          <t>CO</t>
        </is>
      </c>
      <c r="G1" s="1" t="inlineStr">
        <is>
          <t>ENG</t>
        </is>
      </c>
      <c r="H1" s="1" t="inlineStr">
        <is>
          <t>JP</t>
        </is>
      </c>
      <c r="I1" s="1" t="inlineStr">
        <is>
          <t>SG</t>
        </is>
      </c>
      <c r="J1" s="1" t="inlineStr">
        <is>
          <t>UY</t>
        </is>
      </c>
      <c r="K1" s="1" t="inlineStr">
        <is>
          <t>Oportunidad</t>
        </is>
      </c>
    </row>
    <row r="2">
      <c r="A2" t="inlineStr">
        <is>
          <t>Adaptaciones conductuales</t>
        </is>
      </c>
      <c r="B2" t="n">
        <v>11</v>
      </c>
      <c r="C2" t="n">
        <v>3.5</v>
      </c>
      <c r="D2" t="n">
        <v>4</v>
      </c>
      <c r="E2" t="n">
        <v>4</v>
      </c>
      <c r="F2" t="n">
        <v>2</v>
      </c>
      <c r="H2" t="n">
        <v>3</v>
      </c>
      <c r="I2" t="n">
        <v>6</v>
      </c>
      <c r="K2" t="n">
        <v>7.5</v>
      </c>
    </row>
    <row r="3">
      <c r="A3" t="inlineStr">
        <is>
          <t>Nutrición mineral de las plantas</t>
        </is>
      </c>
      <c r="B3" t="n">
        <v>11</v>
      </c>
      <c r="C3" t="n">
        <v>4</v>
      </c>
      <c r="D3" t="n">
        <v>3</v>
      </c>
      <c r="F3" t="n">
        <v>6.5</v>
      </c>
      <c r="G3" t="n">
        <v>2</v>
      </c>
      <c r="H3" t="n">
        <v>4</v>
      </c>
      <c r="K3" t="n">
        <v>7</v>
      </c>
    </row>
    <row r="4">
      <c r="A4" t="inlineStr">
        <is>
          <t>Papel de los seres vivos en el ciclo del agua</t>
        </is>
      </c>
      <c r="B4" t="n">
        <v>10</v>
      </c>
      <c r="C4" t="n">
        <v>5.75</v>
      </c>
      <c r="D4" t="n">
        <v>5</v>
      </c>
      <c r="F4" t="n">
        <v>6.5</v>
      </c>
      <c r="G4" t="n">
        <v>8.5</v>
      </c>
      <c r="H4" t="n">
        <v>5</v>
      </c>
      <c r="I4" t="n">
        <v>5</v>
      </c>
      <c r="K4" t="n">
        <v>4.25</v>
      </c>
    </row>
    <row r="5">
      <c r="A5" t="inlineStr">
        <is>
          <t>Depredación</t>
        </is>
      </c>
      <c r="B5" t="n">
        <v>7</v>
      </c>
      <c r="C5" t="n">
        <v>3</v>
      </c>
      <c r="D5" t="n">
        <v>3.5</v>
      </c>
      <c r="F5" t="n">
        <v>3</v>
      </c>
      <c r="G5" t="n">
        <v>2</v>
      </c>
      <c r="H5" t="n">
        <v>5</v>
      </c>
      <c r="K5" t="n">
        <v>4</v>
      </c>
    </row>
    <row r="6">
      <c r="A6" t="inlineStr">
        <is>
          <t>Digestión química y absorción de nutrientes</t>
        </is>
      </c>
      <c r="B6" t="n">
        <v>8</v>
      </c>
      <c r="C6" t="n">
        <v>4</v>
      </c>
      <c r="D6" t="n">
        <v>4</v>
      </c>
      <c r="G6" t="n">
        <v>4</v>
      </c>
      <c r="H6" t="n">
        <v>5</v>
      </c>
      <c r="I6" t="n">
        <v>4</v>
      </c>
      <c r="J6" t="n">
        <v>4</v>
      </c>
      <c r="K6" t="n">
        <v>4</v>
      </c>
    </row>
    <row r="7">
      <c r="A7" t="inlineStr">
        <is>
          <t>Transporte en plantas: xilema y floema</t>
        </is>
      </c>
      <c r="B7" t="n">
        <v>8</v>
      </c>
      <c r="C7" t="n">
        <v>4</v>
      </c>
      <c r="D7" t="n">
        <v>5</v>
      </c>
      <c r="G7" t="n">
        <v>2</v>
      </c>
      <c r="H7" t="n">
        <v>5</v>
      </c>
      <c r="I7" t="n">
        <v>5</v>
      </c>
      <c r="J7" t="n">
        <v>3</v>
      </c>
      <c r="K7" t="n">
        <v>4</v>
      </c>
    </row>
    <row r="8">
      <c r="A8" t="inlineStr">
        <is>
          <t>Evidencias de la evolución</t>
        </is>
      </c>
      <c r="B8" t="n">
        <v>9</v>
      </c>
      <c r="C8" t="n">
        <v>6</v>
      </c>
      <c r="D8" t="n">
        <v>8</v>
      </c>
      <c r="E8" t="n">
        <v>9</v>
      </c>
      <c r="F8" t="n">
        <v>2</v>
      </c>
      <c r="G8" t="n">
        <v>4</v>
      </c>
      <c r="H8" t="n">
        <v>8</v>
      </c>
      <c r="K8" t="n">
        <v>3</v>
      </c>
    </row>
    <row r="9">
      <c r="A9" t="inlineStr">
        <is>
          <t>Tejidos animales</t>
        </is>
      </c>
      <c r="B9" t="n">
        <v>8</v>
      </c>
      <c r="C9" t="n">
        <v>5</v>
      </c>
      <c r="D9" t="n">
        <v>7</v>
      </c>
      <c r="E9" t="n">
        <v>7</v>
      </c>
      <c r="F9" t="n">
        <v>5</v>
      </c>
      <c r="J9" t="n">
        <v>4</v>
      </c>
      <c r="K9" t="n">
        <v>3</v>
      </c>
    </row>
    <row r="10">
      <c r="A10" t="inlineStr">
        <is>
          <t>Intercambio de gases en plantas</t>
        </is>
      </c>
      <c r="B10" t="n">
        <v>8</v>
      </c>
      <c r="C10" t="n">
        <v>5.5</v>
      </c>
      <c r="D10" t="n">
        <v>6</v>
      </c>
      <c r="G10" t="n">
        <v>6</v>
      </c>
      <c r="H10" t="n">
        <v>7</v>
      </c>
      <c r="I10" t="n">
        <v>5</v>
      </c>
      <c r="J10" t="n">
        <v>5</v>
      </c>
      <c r="K10" t="n">
        <v>2.5</v>
      </c>
    </row>
    <row r="11">
      <c r="A11" t="inlineStr">
        <is>
          <t>Relaciones intraespecíficas</t>
        </is>
      </c>
      <c r="B11" t="n">
        <v>7</v>
      </c>
      <c r="C11" t="n">
        <v>4.5</v>
      </c>
      <c r="F11" t="n">
        <v>3</v>
      </c>
      <c r="J11" t="n">
        <v>6</v>
      </c>
      <c r="K11" t="n">
        <v>2.5</v>
      </c>
    </row>
    <row r="12">
      <c r="A12" t="inlineStr">
        <is>
          <t>Célula animal y célula vegetal</t>
        </is>
      </c>
      <c r="B12" t="n">
        <v>9</v>
      </c>
      <c r="C12" t="n">
        <v>7</v>
      </c>
      <c r="D12" t="n">
        <v>7</v>
      </c>
      <c r="E12" t="n">
        <v>7</v>
      </c>
      <c r="F12" t="n">
        <v>6.5</v>
      </c>
      <c r="G12" t="n">
        <v>6</v>
      </c>
      <c r="H12" t="n">
        <v>7</v>
      </c>
      <c r="J12" t="n">
        <v>7</v>
      </c>
      <c r="K12" t="n">
        <v>2</v>
      </c>
    </row>
    <row r="13">
      <c r="A13" t="inlineStr">
        <is>
          <t>Impulso nervioso y sinapsis</t>
        </is>
      </c>
      <c r="B13" t="n">
        <v>10</v>
      </c>
      <c r="C13" t="n">
        <v>8</v>
      </c>
      <c r="D13" t="n">
        <v>8.5</v>
      </c>
      <c r="F13" t="n">
        <v>4.5</v>
      </c>
      <c r="G13" t="n">
        <v>8.5</v>
      </c>
      <c r="J13" t="n">
        <v>8</v>
      </c>
      <c r="K13" t="n">
        <v>2</v>
      </c>
    </row>
    <row r="14">
      <c r="A14" t="inlineStr">
        <is>
          <t>Reproducción sexual de las plantas con flor</t>
        </is>
      </c>
      <c r="B14" t="n">
        <v>6</v>
      </c>
      <c r="C14" t="n">
        <v>4</v>
      </c>
      <c r="D14" t="n">
        <v>4.5</v>
      </c>
      <c r="E14" t="n">
        <v>8</v>
      </c>
      <c r="G14" t="n">
        <v>2</v>
      </c>
      <c r="H14" t="n">
        <v>4</v>
      </c>
      <c r="I14" t="n">
        <v>5</v>
      </c>
      <c r="J14" t="n">
        <v>3</v>
      </c>
      <c r="K14" t="n">
        <v>2</v>
      </c>
    </row>
    <row r="15">
      <c r="A15" t="inlineStr">
        <is>
          <t>Ciclos del carbono y del oxígeno</t>
        </is>
      </c>
      <c r="B15" t="n">
        <v>8</v>
      </c>
      <c r="C15" t="n">
        <v>6.25</v>
      </c>
      <c r="D15" t="n">
        <v>6</v>
      </c>
      <c r="E15" t="n">
        <v>8</v>
      </c>
      <c r="F15" t="n">
        <v>6.5</v>
      </c>
      <c r="G15" t="n">
        <v>6</v>
      </c>
      <c r="H15" t="n">
        <v>5</v>
      </c>
      <c r="K15" t="n">
        <v>1.75</v>
      </c>
    </row>
    <row r="16">
      <c r="A16" t="inlineStr">
        <is>
          <t>Secuenciación del ADN y perfiles genéticos</t>
        </is>
      </c>
      <c r="B16" t="n">
        <v>10</v>
      </c>
      <c r="C16" t="n">
        <v>8.5</v>
      </c>
      <c r="D16" t="n">
        <v>8.5</v>
      </c>
      <c r="F16" t="n">
        <v>8.5</v>
      </c>
      <c r="G16" t="n">
        <v>8.5</v>
      </c>
      <c r="K16" t="n">
        <v>1.5</v>
      </c>
    </row>
    <row r="17">
      <c r="A17" t="inlineStr">
        <is>
          <t>Órganos de los sentidos</t>
        </is>
      </c>
      <c r="B17" t="n">
        <v>4</v>
      </c>
      <c r="C17" t="n">
        <v>2.5</v>
      </c>
      <c r="D17" t="n">
        <v>4.5</v>
      </c>
      <c r="F17" t="n">
        <v>2</v>
      </c>
      <c r="G17" t="n">
        <v>2</v>
      </c>
      <c r="H17" t="n">
        <v>7</v>
      </c>
      <c r="J17" t="n">
        <v>3</v>
      </c>
      <c r="K17" t="n">
        <v>1.5</v>
      </c>
    </row>
    <row r="18">
      <c r="A18" t="inlineStr">
        <is>
          <t>Ciclo del nitrógeno</t>
        </is>
      </c>
      <c r="B18" t="n">
        <v>9</v>
      </c>
      <c r="C18" t="n">
        <v>7.75</v>
      </c>
      <c r="D18" t="n">
        <v>8.5</v>
      </c>
      <c r="F18" t="n">
        <v>7</v>
      </c>
      <c r="G18" t="n">
        <v>8.5</v>
      </c>
      <c r="K18" t="n">
        <v>1.25</v>
      </c>
    </row>
    <row r="19">
      <c r="A19" t="inlineStr">
        <is>
          <t>Herencia ligada al sexo, alelos múltiples y poligénica</t>
        </is>
      </c>
      <c r="B19" t="n">
        <v>10</v>
      </c>
      <c r="C19" t="n">
        <v>8.75</v>
      </c>
      <c r="D19" t="n">
        <v>8.5</v>
      </c>
      <c r="F19" t="n">
        <v>9</v>
      </c>
      <c r="G19" t="n">
        <v>8.5</v>
      </c>
      <c r="K19" t="n">
        <v>1.25</v>
      </c>
    </row>
    <row r="20">
      <c r="A20" t="inlineStr">
        <is>
          <t>Inmunidad adaptativa</t>
        </is>
      </c>
      <c r="B20" t="n">
        <v>10</v>
      </c>
      <c r="C20" t="n">
        <v>8.75</v>
      </c>
      <c r="D20" t="n">
        <v>8.5</v>
      </c>
      <c r="G20" t="n">
        <v>8.5</v>
      </c>
      <c r="J20" t="n">
        <v>9</v>
      </c>
      <c r="K20" t="n">
        <v>1.25</v>
      </c>
    </row>
    <row r="21">
      <c r="A21" t="inlineStr">
        <is>
          <t>Inmunidad innata</t>
        </is>
      </c>
      <c r="B21" t="n">
        <v>10</v>
      </c>
      <c r="C21" t="n">
        <v>8.75</v>
      </c>
      <c r="D21" t="n">
        <v>8.5</v>
      </c>
      <c r="G21" t="n">
        <v>8.5</v>
      </c>
      <c r="J21" t="n">
        <v>9</v>
      </c>
      <c r="K21" t="n">
        <v>1.25</v>
      </c>
    </row>
    <row r="22">
      <c r="A22" t="inlineStr">
        <is>
          <t>Ciclo de vida de los animales</t>
        </is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K22" t="n">
        <v>1</v>
      </c>
    </row>
    <row r="23">
      <c r="A23" t="inlineStr">
        <is>
          <t>Flujo de energía y pirámides ecológicas</t>
        </is>
      </c>
      <c r="B23" t="n">
        <v>7</v>
      </c>
      <c r="C23" t="n">
        <v>6</v>
      </c>
      <c r="D23" t="n">
        <v>6</v>
      </c>
      <c r="E23" t="n">
        <v>6</v>
      </c>
      <c r="F23" t="n">
        <v>6.5</v>
      </c>
      <c r="I23" t="n">
        <v>6</v>
      </c>
      <c r="J23" t="n">
        <v>6</v>
      </c>
      <c r="K23" t="n">
        <v>1</v>
      </c>
    </row>
    <row r="24">
      <c r="A24" t="inlineStr">
        <is>
          <t>Homeostasis</t>
        </is>
      </c>
      <c r="B24" t="n">
        <v>9</v>
      </c>
      <c r="C24" t="n">
        <v>8</v>
      </c>
      <c r="D24" t="n">
        <v>8.5</v>
      </c>
      <c r="F24" t="n">
        <v>8</v>
      </c>
      <c r="G24" t="n">
        <v>8.5</v>
      </c>
      <c r="J24" t="n">
        <v>8</v>
      </c>
      <c r="K24" t="n">
        <v>1</v>
      </c>
    </row>
    <row r="25">
      <c r="A25" t="inlineStr">
        <is>
          <t>Sistema endocrino y hormonas</t>
        </is>
      </c>
      <c r="B25" t="n">
        <v>9</v>
      </c>
      <c r="C25" t="n">
        <v>8</v>
      </c>
      <c r="D25" t="n">
        <v>8.25</v>
      </c>
      <c r="E25" t="n">
        <v>8</v>
      </c>
      <c r="F25" t="n">
        <v>8</v>
      </c>
      <c r="G25" t="n">
        <v>8.5</v>
      </c>
      <c r="J25" t="n">
        <v>8</v>
      </c>
      <c r="K25" t="n">
        <v>1</v>
      </c>
    </row>
    <row r="26">
      <c r="A26" t="inlineStr">
        <is>
          <t>Modelo estímulo-respuesta y retroalimentación negativa</t>
        </is>
      </c>
      <c r="B26" t="n">
        <v>9</v>
      </c>
      <c r="C26" t="n">
        <v>8.25</v>
      </c>
      <c r="D26" t="n">
        <v>8.25</v>
      </c>
      <c r="E26" t="n">
        <v>8</v>
      </c>
      <c r="G26" t="n">
        <v>8.5</v>
      </c>
      <c r="K26" t="n">
        <v>0.75</v>
      </c>
    </row>
    <row r="27">
      <c r="A27" t="inlineStr">
        <is>
          <t>Variación genética en la descendencia</t>
        </is>
      </c>
      <c r="B27" t="n">
        <v>7</v>
      </c>
      <c r="C27" t="n">
        <v>6.25</v>
      </c>
      <c r="D27" t="n">
        <v>4</v>
      </c>
      <c r="F27" t="n">
        <v>8.5</v>
      </c>
      <c r="G27" t="n">
        <v>4</v>
      </c>
      <c r="K27" t="n">
        <v>0.75</v>
      </c>
    </row>
    <row r="28">
      <c r="A28" t="inlineStr">
        <is>
          <t>Biomas y clasificación de ambientes</t>
        </is>
      </c>
      <c r="B28" t="n">
        <v>4</v>
      </c>
      <c r="C28" t="n">
        <v>3.5</v>
      </c>
      <c r="F28" t="n">
        <v>4</v>
      </c>
      <c r="J28" t="n">
        <v>3</v>
      </c>
      <c r="K28" t="n">
        <v>0.5</v>
      </c>
    </row>
    <row r="29">
      <c r="A29" t="inlineStr">
        <is>
          <t>Cadena alimentaria</t>
        </is>
      </c>
      <c r="B29" t="n">
        <v>4</v>
      </c>
      <c r="C29" t="n">
        <v>3.5</v>
      </c>
      <c r="D29" t="n">
        <v>4</v>
      </c>
      <c r="E29" t="n">
        <v>3</v>
      </c>
      <c r="F29" t="n">
        <v>4</v>
      </c>
      <c r="G29" t="n">
        <v>2</v>
      </c>
      <c r="H29" t="n">
        <v>5</v>
      </c>
      <c r="I29" t="n">
        <v>6</v>
      </c>
      <c r="J29" t="n">
        <v>3</v>
      </c>
      <c r="K29" t="n">
        <v>0.5</v>
      </c>
    </row>
    <row r="30">
      <c r="A30" t="inlineStr">
        <is>
          <t>Fecundación y desarrollo embrionario</t>
        </is>
      </c>
      <c r="B30" t="n">
        <v>6</v>
      </c>
      <c r="C30" t="n">
        <v>5.5</v>
      </c>
      <c r="D30" t="n">
        <v>5</v>
      </c>
      <c r="G30" t="n">
        <v>6</v>
      </c>
      <c r="H30" t="n">
        <v>4</v>
      </c>
      <c r="I30" t="n">
        <v>5</v>
      </c>
      <c r="J30" t="n">
        <v>6</v>
      </c>
      <c r="K30" t="n">
        <v>0.5</v>
      </c>
    </row>
    <row r="31">
      <c r="A31" t="inlineStr">
        <is>
          <t>Ingeniería genética y ADN recombinante</t>
        </is>
      </c>
      <c r="B31" t="n">
        <v>9</v>
      </c>
      <c r="C31" t="n">
        <v>8.5</v>
      </c>
      <c r="D31" t="n">
        <v>8.5</v>
      </c>
      <c r="F31" t="n">
        <v>8.5</v>
      </c>
      <c r="G31" t="n">
        <v>8.5</v>
      </c>
      <c r="J31" t="n">
        <v>6</v>
      </c>
      <c r="K31" t="n">
        <v>0.5</v>
      </c>
    </row>
    <row r="32">
      <c r="A32" t="inlineStr">
        <is>
          <t>La célula como unidad de la vida</t>
        </is>
      </c>
      <c r="B32" t="n">
        <v>6</v>
      </c>
      <c r="C32" t="n">
        <v>5.5</v>
      </c>
      <c r="D32" t="n">
        <v>6.5</v>
      </c>
      <c r="E32" t="n">
        <v>7</v>
      </c>
      <c r="F32" t="n">
        <v>4.5</v>
      </c>
      <c r="G32" t="n">
        <v>6</v>
      </c>
      <c r="H32" t="n">
        <v>7</v>
      </c>
      <c r="I32" t="n">
        <v>5</v>
      </c>
      <c r="J32" t="n">
        <v>4</v>
      </c>
      <c r="K32" t="n">
        <v>0.5</v>
      </c>
    </row>
    <row r="33">
      <c r="A33" t="inlineStr">
        <is>
          <t>Transmisión de patógenos</t>
        </is>
      </c>
      <c r="B33" t="n">
        <v>9</v>
      </c>
      <c r="C33" t="n">
        <v>8.5</v>
      </c>
      <c r="D33" t="n">
        <v>8.5</v>
      </c>
      <c r="F33" t="n">
        <v>6.5</v>
      </c>
      <c r="G33" t="n">
        <v>8.5</v>
      </c>
      <c r="J33" t="n">
        <v>9</v>
      </c>
      <c r="K33" t="n">
        <v>0.5</v>
      </c>
    </row>
    <row r="34">
      <c r="A34" t="inlineStr">
        <is>
          <t>Sistema inmunitario</t>
        </is>
      </c>
      <c r="B34" t="n">
        <v>9</v>
      </c>
      <c r="C34" t="n">
        <v>8.75</v>
      </c>
      <c r="D34" t="n">
        <v>8.5</v>
      </c>
      <c r="G34" t="n">
        <v>8.5</v>
      </c>
      <c r="J34" t="n">
        <v>9</v>
      </c>
      <c r="K34" t="n">
        <v>0.25</v>
      </c>
    </row>
    <row r="35">
      <c r="A35" t="inlineStr">
        <is>
          <t>Sistema locomotor</t>
        </is>
      </c>
      <c r="B35" t="n">
        <v>4</v>
      </c>
      <c r="C35" t="n">
        <v>3.75</v>
      </c>
      <c r="D35" t="n">
        <v>2.5</v>
      </c>
      <c r="F35" t="n">
        <v>4.5</v>
      </c>
      <c r="G35" t="n">
        <v>2</v>
      </c>
      <c r="H35" t="n">
        <v>3</v>
      </c>
      <c r="J35" t="n">
        <v>8</v>
      </c>
      <c r="K35" t="n">
        <v>0.25</v>
      </c>
    </row>
    <row r="36">
      <c r="A36" t="inlineStr">
        <is>
          <t>Tejidos vegetales</t>
        </is>
      </c>
      <c r="B36" t="n">
        <v>8</v>
      </c>
      <c r="C36" t="n">
        <v>7.75</v>
      </c>
      <c r="D36" t="n">
        <v>7.75</v>
      </c>
      <c r="E36" t="n">
        <v>7</v>
      </c>
      <c r="G36" t="n">
        <v>8.5</v>
      </c>
      <c r="K36" t="n">
        <v>0.25</v>
      </c>
    </row>
    <row r="37">
      <c r="A37" t="inlineStr">
        <is>
          <t>Ciclo de vida de las plantas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3</v>
      </c>
      <c r="K37" t="n">
        <v>0</v>
      </c>
    </row>
    <row r="38">
      <c r="A38" t="inlineStr">
        <is>
          <t>Clasificación de seres vivos por sus rasgos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K38" t="n">
        <v>0</v>
      </c>
    </row>
    <row r="39">
      <c r="A39" t="inlineStr">
        <is>
          <t>Clasificación jerárquica y nomenclatura</t>
        </is>
      </c>
      <c r="B39" t="n">
        <v>7</v>
      </c>
      <c r="C39" t="n">
        <v>7</v>
      </c>
      <c r="D39" t="n">
        <v>7.25</v>
      </c>
      <c r="E39" t="n">
        <v>6</v>
      </c>
      <c r="F39" t="n">
        <v>6</v>
      </c>
      <c r="G39" t="n">
        <v>8.5</v>
      </c>
      <c r="J39" t="n">
        <v>8</v>
      </c>
      <c r="K39" t="n">
        <v>0</v>
      </c>
    </row>
    <row r="40">
      <c r="A40" t="inlineStr">
        <is>
          <t>Diferenciación y especialización celular</t>
        </is>
      </c>
      <c r="B40" t="n">
        <v>6</v>
      </c>
      <c r="C40" t="n">
        <v>6</v>
      </c>
      <c r="D40" t="n">
        <v>6.5</v>
      </c>
      <c r="E40" t="n">
        <v>7</v>
      </c>
      <c r="F40" t="n">
        <v>5</v>
      </c>
      <c r="G40" t="n">
        <v>6</v>
      </c>
      <c r="K40" t="n">
        <v>0</v>
      </c>
    </row>
    <row r="41">
      <c r="A41" t="inlineStr">
        <is>
          <t>Difusión y ósmosis</t>
        </is>
      </c>
      <c r="B41" t="n">
        <v>6</v>
      </c>
      <c r="C41" t="n">
        <v>6</v>
      </c>
      <c r="D41" t="n">
        <v>6</v>
      </c>
      <c r="F41" t="n">
        <v>6.5</v>
      </c>
      <c r="G41" t="n">
        <v>6</v>
      </c>
      <c r="J41" t="n">
        <v>5</v>
      </c>
      <c r="K41" t="n">
        <v>0</v>
      </c>
    </row>
    <row r="42">
      <c r="A42" t="inlineStr">
        <is>
          <t>Estructuras celulares básicas</t>
        </is>
      </c>
      <c r="B42" t="n">
        <v>6</v>
      </c>
      <c r="C42" t="n">
        <v>6</v>
      </c>
      <c r="D42" t="n">
        <v>6.5</v>
      </c>
      <c r="E42" t="n">
        <v>7</v>
      </c>
      <c r="F42" t="n">
        <v>6</v>
      </c>
      <c r="G42" t="n">
        <v>6</v>
      </c>
      <c r="J42" t="n">
        <v>6</v>
      </c>
      <c r="K42" t="n">
        <v>0</v>
      </c>
    </row>
    <row r="43">
      <c r="A43" t="inlineStr">
        <is>
          <t>Fotosíntesis</t>
        </is>
      </c>
      <c r="B43" t="n">
        <v>6</v>
      </c>
      <c r="C43" t="n">
        <v>6</v>
      </c>
      <c r="D43" t="n">
        <v>6</v>
      </c>
      <c r="E43" t="n">
        <v>8</v>
      </c>
      <c r="F43" t="n">
        <v>6.5</v>
      </c>
      <c r="G43" t="n">
        <v>6</v>
      </c>
      <c r="H43" t="n">
        <v>5</v>
      </c>
      <c r="I43" t="n">
        <v>6</v>
      </c>
      <c r="J43" t="n">
        <v>6</v>
      </c>
      <c r="K43" t="n">
        <v>0</v>
      </c>
    </row>
    <row r="44">
      <c r="A44" t="inlineStr">
        <is>
          <t>Hábitat y ecosistemas comunes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6</v>
      </c>
      <c r="J44" t="n">
        <v>3</v>
      </c>
      <c r="K44" t="n">
        <v>0</v>
      </c>
    </row>
    <row r="45">
      <c r="A45" t="inlineStr">
        <is>
          <t>Hábitos de vida saludable</t>
        </is>
      </c>
      <c r="B45" t="n">
        <v>2</v>
      </c>
      <c r="C45" t="n">
        <v>2</v>
      </c>
      <c r="D45" t="n">
        <v>2</v>
      </c>
      <c r="F45" t="n">
        <v>2</v>
      </c>
      <c r="G45" t="n">
        <v>2</v>
      </c>
      <c r="J45" t="n">
        <v>4</v>
      </c>
      <c r="K45" t="n">
        <v>0</v>
      </c>
    </row>
    <row r="46">
      <c r="A46" t="inlineStr">
        <is>
          <t>Membrana celular</t>
        </is>
      </c>
      <c r="B46" t="n">
        <v>6</v>
      </c>
      <c r="C46" t="n">
        <v>6</v>
      </c>
      <c r="D46" t="n">
        <v>6</v>
      </c>
      <c r="F46" t="n">
        <v>6</v>
      </c>
      <c r="G46" t="n">
        <v>6</v>
      </c>
      <c r="K46" t="n">
        <v>0</v>
      </c>
    </row>
    <row r="47">
      <c r="A47" t="inlineStr">
        <is>
          <t>Mitosis y ciclo celular</t>
        </is>
      </c>
      <c r="B47" t="n">
        <v>6</v>
      </c>
      <c r="C47" t="n">
        <v>6</v>
      </c>
      <c r="D47" t="n">
        <v>8</v>
      </c>
      <c r="F47" t="n">
        <v>6</v>
      </c>
      <c r="H47" t="n">
        <v>8</v>
      </c>
      <c r="J47" t="n">
        <v>5</v>
      </c>
      <c r="K47" t="n">
        <v>0</v>
      </c>
    </row>
    <row r="48">
      <c r="A48" t="inlineStr">
        <is>
          <t>Necesidades de los seres vivos</t>
        </is>
      </c>
      <c r="B48" t="n">
        <v>2</v>
      </c>
      <c r="C48" t="n">
        <v>2</v>
      </c>
      <c r="D48" t="n">
        <v>2.5</v>
      </c>
      <c r="E48" t="n">
        <v>2</v>
      </c>
      <c r="F48" t="n">
        <v>2</v>
      </c>
      <c r="G48" t="n">
        <v>2</v>
      </c>
      <c r="H48" t="n">
        <v>4</v>
      </c>
      <c r="I48" t="n">
        <v>3</v>
      </c>
      <c r="K48" t="n">
        <v>0</v>
      </c>
    </row>
    <row r="49">
      <c r="A49" t="inlineStr">
        <is>
          <t>Respiración celular</t>
        </is>
      </c>
      <c r="B49" t="n">
        <v>6</v>
      </c>
      <c r="C49" t="n">
        <v>6</v>
      </c>
      <c r="D49" t="n">
        <v>6</v>
      </c>
      <c r="E49" t="n">
        <v>8</v>
      </c>
      <c r="F49" t="n">
        <v>6</v>
      </c>
      <c r="G49" t="n">
        <v>6</v>
      </c>
      <c r="I49" t="n">
        <v>6</v>
      </c>
      <c r="K49" t="n">
        <v>0</v>
      </c>
    </row>
    <row r="50">
      <c r="A50" t="inlineStr">
        <is>
          <t>Seres vivos y no vivos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I50" t="n">
        <v>3</v>
      </c>
      <c r="K50" t="n">
        <v>0</v>
      </c>
    </row>
    <row r="51">
      <c r="A51" t="inlineStr">
        <is>
          <t>Sistema digestivo</t>
        </is>
      </c>
      <c r="B51" t="n">
        <v>4</v>
      </c>
      <c r="C51" t="n">
        <v>4</v>
      </c>
      <c r="D51" t="n">
        <v>4</v>
      </c>
      <c r="F51" t="n">
        <v>4.5</v>
      </c>
      <c r="G51" t="n">
        <v>2</v>
      </c>
      <c r="H51" t="n">
        <v>5</v>
      </c>
      <c r="I51" t="n">
        <v>4</v>
      </c>
      <c r="J51" t="n">
        <v>4</v>
      </c>
      <c r="K51" t="n">
        <v>0</v>
      </c>
    </row>
    <row r="52">
      <c r="A52" t="inlineStr">
        <is>
          <t>Biotecnología vegetal y agroindustria</t>
        </is>
      </c>
      <c r="B52" t="n">
        <v>6</v>
      </c>
      <c r="C52" t="n">
        <v>6.25</v>
      </c>
      <c r="D52" t="n">
        <v>8.5</v>
      </c>
      <c r="G52" t="n">
        <v>8.5</v>
      </c>
      <c r="J52" t="n">
        <v>4</v>
      </c>
      <c r="K52" t="n">
        <v>-0.25</v>
      </c>
    </row>
    <row r="53">
      <c r="A53" t="inlineStr">
        <is>
          <t>Concepto de especie</t>
        </is>
      </c>
      <c r="B53" t="n">
        <v>7</v>
      </c>
      <c r="C53" t="n">
        <v>7.25</v>
      </c>
      <c r="D53" t="n">
        <v>6</v>
      </c>
      <c r="F53" t="n">
        <v>8.5</v>
      </c>
      <c r="G53" t="n">
        <v>6</v>
      </c>
      <c r="K53" t="n">
        <v>-0.25</v>
      </c>
    </row>
    <row r="54">
      <c r="A54" t="inlineStr">
        <is>
          <t>Filogenia y parentesco evolutivo</t>
        </is>
      </c>
      <c r="B54" t="n">
        <v>7</v>
      </c>
      <c r="C54" t="n">
        <v>7.25</v>
      </c>
      <c r="D54" t="n">
        <v>8.5</v>
      </c>
      <c r="F54" t="n">
        <v>6</v>
      </c>
      <c r="G54" t="n">
        <v>8.5</v>
      </c>
      <c r="K54" t="n">
        <v>-0.25</v>
      </c>
    </row>
    <row r="55">
      <c r="A55" t="inlineStr">
        <is>
          <t>Agricultura y seguridad alimentaria</t>
        </is>
      </c>
      <c r="B55" t="n">
        <v>4</v>
      </c>
      <c r="C55" t="n">
        <v>4.5</v>
      </c>
      <c r="D55" t="n">
        <v>6</v>
      </c>
      <c r="G55" t="n">
        <v>6</v>
      </c>
      <c r="J55" t="n">
        <v>3</v>
      </c>
      <c r="K55" t="n">
        <v>-0.5</v>
      </c>
    </row>
    <row r="56">
      <c r="A56" t="inlineStr">
        <is>
          <t>Competencia por recursos</t>
        </is>
      </c>
      <c r="B56" t="n">
        <v>4</v>
      </c>
      <c r="C56" t="n">
        <v>4.5</v>
      </c>
      <c r="D56" t="n">
        <v>6</v>
      </c>
      <c r="F56" t="n">
        <v>3</v>
      </c>
      <c r="G56" t="n">
        <v>6</v>
      </c>
      <c r="K56" t="n">
        <v>-0.5</v>
      </c>
    </row>
    <row r="57">
      <c r="A57" t="inlineStr">
        <is>
          <t>Fósiles y registro fósil</t>
        </is>
      </c>
      <c r="B57" t="n">
        <v>3</v>
      </c>
      <c r="C57" t="n">
        <v>3.5</v>
      </c>
      <c r="D57" t="n">
        <v>3.5</v>
      </c>
      <c r="F57" t="n">
        <v>2</v>
      </c>
      <c r="G57" t="n">
        <v>2</v>
      </c>
      <c r="H57" t="n">
        <v>5</v>
      </c>
      <c r="J57" t="n">
        <v>6</v>
      </c>
      <c r="K57" t="n">
        <v>-0.5</v>
      </c>
    </row>
    <row r="58">
      <c r="A58" t="inlineStr">
        <is>
          <t>Partes de la planta y sus funciones</t>
        </is>
      </c>
      <c r="B58" t="n">
        <v>2</v>
      </c>
      <c r="C58" t="n">
        <v>2.5</v>
      </c>
      <c r="D58" t="n">
        <v>2</v>
      </c>
      <c r="G58" t="n">
        <v>2</v>
      </c>
      <c r="H58" t="n">
        <v>2</v>
      </c>
      <c r="I58" t="n">
        <v>4</v>
      </c>
      <c r="J58" t="n">
        <v>3</v>
      </c>
      <c r="K58" t="n">
        <v>-0.5</v>
      </c>
    </row>
    <row r="59">
      <c r="A59" t="inlineStr">
        <is>
          <t>Productores, consumidores y descomponedores</t>
        </is>
      </c>
      <c r="B59" t="n">
        <v>3</v>
      </c>
      <c r="C59" t="n">
        <v>3.5</v>
      </c>
      <c r="D59" t="n">
        <v>4.5</v>
      </c>
      <c r="E59" t="n">
        <v>3</v>
      </c>
      <c r="F59" t="n">
        <v>4</v>
      </c>
      <c r="G59" t="n">
        <v>2</v>
      </c>
      <c r="H59" t="n">
        <v>8</v>
      </c>
      <c r="I59" t="n">
        <v>6</v>
      </c>
      <c r="J59" t="n">
        <v>3</v>
      </c>
      <c r="K59" t="n">
        <v>-0.5</v>
      </c>
    </row>
    <row r="60">
      <c r="A60" t="inlineStr">
        <is>
          <t>Reproducción sexual y asexual</t>
        </is>
      </c>
      <c r="B60" t="n">
        <v>6</v>
      </c>
      <c r="C60" t="n">
        <v>6.5</v>
      </c>
      <c r="D60" t="n">
        <v>6.5</v>
      </c>
      <c r="E60" t="n">
        <v>8</v>
      </c>
      <c r="F60" t="n">
        <v>8</v>
      </c>
      <c r="G60" t="n">
        <v>3</v>
      </c>
      <c r="H60" t="n">
        <v>8</v>
      </c>
      <c r="I60" t="n">
        <v>5</v>
      </c>
      <c r="J60" t="n">
        <v>3</v>
      </c>
      <c r="K60" t="n">
        <v>-0.5</v>
      </c>
    </row>
    <row r="61">
      <c r="A61" t="inlineStr">
        <is>
          <t>Sistema circulatorio</t>
        </is>
      </c>
      <c r="B61" t="n">
        <v>4</v>
      </c>
      <c r="C61" t="n">
        <v>4.5</v>
      </c>
      <c r="D61" t="n">
        <v>4</v>
      </c>
      <c r="F61" t="n">
        <v>4.5</v>
      </c>
      <c r="G61" t="n">
        <v>4</v>
      </c>
      <c r="H61" t="n">
        <v>5</v>
      </c>
      <c r="I61" t="n">
        <v>4</v>
      </c>
      <c r="J61" t="n">
        <v>5</v>
      </c>
      <c r="K61" t="n">
        <v>-0.5</v>
      </c>
    </row>
    <row r="62">
      <c r="A62" t="inlineStr">
        <is>
          <t>Organelos de la célula eucariota</t>
        </is>
      </c>
      <c r="B62" t="n">
        <v>6</v>
      </c>
      <c r="C62" t="n">
        <v>6.75</v>
      </c>
      <c r="D62" t="n">
        <v>6.5</v>
      </c>
      <c r="E62" t="n">
        <v>7</v>
      </c>
      <c r="F62" t="n">
        <v>6.5</v>
      </c>
      <c r="G62" t="n">
        <v>6</v>
      </c>
      <c r="J62" t="n">
        <v>7</v>
      </c>
      <c r="K62" t="n">
        <v>-0.75</v>
      </c>
    </row>
    <row r="63">
      <c r="A63" t="inlineStr">
        <is>
          <t>Célula procariota y eucariota</t>
        </is>
      </c>
      <c r="B63" t="n">
        <v>6</v>
      </c>
      <c r="C63" t="n">
        <v>7</v>
      </c>
      <c r="D63" t="n">
        <v>8.5</v>
      </c>
      <c r="F63" t="n">
        <v>6</v>
      </c>
      <c r="G63" t="n">
        <v>8.5</v>
      </c>
      <c r="J63" t="n">
        <v>7</v>
      </c>
      <c r="K63" t="n">
        <v>-1</v>
      </c>
    </row>
    <row r="64">
      <c r="A64" t="inlineStr">
        <is>
          <t>Extinción de especies</t>
        </is>
      </c>
      <c r="B64" t="n">
        <v>5</v>
      </c>
      <c r="C64" t="n">
        <v>6</v>
      </c>
      <c r="D64" t="n">
        <v>6</v>
      </c>
      <c r="F64" t="n">
        <v>6.5</v>
      </c>
      <c r="G64" t="n">
        <v>6</v>
      </c>
      <c r="J64" t="n">
        <v>5</v>
      </c>
      <c r="K64" t="n">
        <v>-1</v>
      </c>
    </row>
    <row r="65">
      <c r="A65" t="inlineStr">
        <is>
          <t>Reproducción humana y pubertad</t>
        </is>
      </c>
      <c r="B65" t="n">
        <v>4</v>
      </c>
      <c r="C65" t="n">
        <v>5</v>
      </c>
      <c r="D65" t="n">
        <v>4.5</v>
      </c>
      <c r="E65" t="n">
        <v>8</v>
      </c>
      <c r="F65" t="n">
        <v>6.5</v>
      </c>
      <c r="G65" t="n">
        <v>3</v>
      </c>
      <c r="H65" t="n">
        <v>4</v>
      </c>
      <c r="I65" t="n">
        <v>5</v>
      </c>
      <c r="J65" t="n">
        <v>5</v>
      </c>
      <c r="K65" t="n">
        <v>-1</v>
      </c>
    </row>
    <row r="66">
      <c r="A66" t="inlineStr">
        <is>
          <t>Sistema respiratorio</t>
        </is>
      </c>
      <c r="B66" t="n">
        <v>4</v>
      </c>
      <c r="C66" t="n">
        <v>5</v>
      </c>
      <c r="D66" t="n">
        <v>5</v>
      </c>
      <c r="F66" t="n">
        <v>4.5</v>
      </c>
      <c r="G66" t="n">
        <v>6</v>
      </c>
      <c r="H66" t="n">
        <v>5</v>
      </c>
      <c r="I66" t="n">
        <v>4</v>
      </c>
      <c r="J66" t="n">
        <v>5</v>
      </c>
      <c r="K66" t="n">
        <v>-1</v>
      </c>
    </row>
    <row r="67">
      <c r="A67" t="inlineStr">
        <is>
          <t>Estructura del ADN</t>
        </is>
      </c>
      <c r="B67" t="n">
        <v>6</v>
      </c>
      <c r="C67" t="n">
        <v>7.25</v>
      </c>
      <c r="D67" t="n">
        <v>6</v>
      </c>
      <c r="F67" t="n">
        <v>8.5</v>
      </c>
      <c r="G67" t="n">
        <v>6</v>
      </c>
      <c r="K67" t="n">
        <v>-1.25</v>
      </c>
    </row>
    <row r="68">
      <c r="A68" t="inlineStr">
        <is>
          <t>Genes y alelos</t>
        </is>
      </c>
      <c r="B68" t="n">
        <v>7</v>
      </c>
      <c r="C68" t="n">
        <v>8.25</v>
      </c>
      <c r="D68" t="n">
        <v>8</v>
      </c>
      <c r="E68" t="n">
        <v>9</v>
      </c>
      <c r="F68" t="n">
        <v>8.5</v>
      </c>
      <c r="G68" t="n">
        <v>6</v>
      </c>
      <c r="H68" t="n">
        <v>8</v>
      </c>
      <c r="K68" t="n">
        <v>-1.25</v>
      </c>
    </row>
    <row r="69">
      <c r="A69" t="inlineStr">
        <is>
          <t>Atributos de las poblaciones</t>
        </is>
      </c>
      <c r="B69" t="n">
        <v>7</v>
      </c>
      <c r="C69" t="n">
        <v>8.5</v>
      </c>
      <c r="D69" t="n">
        <v>8.5</v>
      </c>
      <c r="F69" t="n">
        <v>8.5</v>
      </c>
      <c r="G69" t="n">
        <v>8.5</v>
      </c>
      <c r="K69" t="n">
        <v>-1.5</v>
      </c>
    </row>
    <row r="70">
      <c r="A70" t="inlineStr">
        <is>
          <t>Biomoléculas</t>
        </is>
      </c>
      <c r="B70" t="n">
        <v>6</v>
      </c>
      <c r="C70" t="n">
        <v>7.5</v>
      </c>
      <c r="D70" t="n">
        <v>8.5</v>
      </c>
      <c r="F70" t="n">
        <v>6.5</v>
      </c>
      <c r="G70" t="n">
        <v>8.5</v>
      </c>
      <c r="K70" t="n">
        <v>-1.5</v>
      </c>
    </row>
    <row r="71">
      <c r="A71" t="inlineStr">
        <is>
          <t>Estructuras del cuerpo animal y su función</t>
        </is>
      </c>
      <c r="B71" t="n">
        <v>2</v>
      </c>
      <c r="C71" t="n">
        <v>3.5</v>
      </c>
      <c r="D71" t="n">
        <v>3.5</v>
      </c>
      <c r="E71" t="n">
        <v>7</v>
      </c>
      <c r="F71" t="n">
        <v>2</v>
      </c>
      <c r="G71" t="n">
        <v>2</v>
      </c>
      <c r="H71" t="n">
        <v>3</v>
      </c>
      <c r="I71" t="n">
        <v>4</v>
      </c>
      <c r="J71" t="n">
        <v>8</v>
      </c>
      <c r="K71" t="n">
        <v>-1.5</v>
      </c>
    </row>
    <row r="72">
      <c r="A72" t="inlineStr">
        <is>
          <t>Factores bióticos y abióticos</t>
        </is>
      </c>
      <c r="B72" t="n">
        <v>4</v>
      </c>
      <c r="C72" t="n">
        <v>5.5</v>
      </c>
      <c r="D72" t="n">
        <v>5.5</v>
      </c>
      <c r="E72" t="n">
        <v>5</v>
      </c>
      <c r="F72" t="n">
        <v>2</v>
      </c>
      <c r="G72" t="n">
        <v>6</v>
      </c>
      <c r="H72" t="n">
        <v>5</v>
      </c>
      <c r="I72" t="n">
        <v>6</v>
      </c>
      <c r="J72" t="n">
        <v>7</v>
      </c>
      <c r="K72" t="n">
        <v>-1.5</v>
      </c>
    </row>
    <row r="73">
      <c r="A73" t="inlineStr">
        <is>
          <t>Grupos de plantas</t>
        </is>
      </c>
      <c r="B73" t="n">
        <v>3</v>
      </c>
      <c r="C73" t="n">
        <v>4.5</v>
      </c>
      <c r="D73" t="n">
        <v>4.5</v>
      </c>
      <c r="H73" t="n">
        <v>6</v>
      </c>
      <c r="I73" t="n">
        <v>3</v>
      </c>
      <c r="K73" t="n">
        <v>-1.5</v>
      </c>
    </row>
    <row r="74">
      <c r="A74" t="inlineStr">
        <is>
          <t>Herencia de rasgos</t>
        </is>
      </c>
      <c r="B74" t="n">
        <v>3</v>
      </c>
      <c r="C74" t="n">
        <v>4.5</v>
      </c>
      <c r="D74" t="n">
        <v>5</v>
      </c>
      <c r="F74" t="n">
        <v>2</v>
      </c>
      <c r="G74" t="n">
        <v>4</v>
      </c>
      <c r="H74" t="n">
        <v>8</v>
      </c>
      <c r="I74" t="n">
        <v>5</v>
      </c>
      <c r="K74" t="n">
        <v>-1.5</v>
      </c>
    </row>
    <row r="75">
      <c r="A75" t="inlineStr">
        <is>
          <t>Nutrición autótrofa y heterótrofa</t>
        </is>
      </c>
      <c r="B75" t="n">
        <v>3</v>
      </c>
      <c r="C75" t="n">
        <v>4.5</v>
      </c>
      <c r="D75" t="n">
        <v>4</v>
      </c>
      <c r="F75" t="n">
        <v>6.5</v>
      </c>
      <c r="G75" t="n">
        <v>2</v>
      </c>
      <c r="I75" t="n">
        <v>6</v>
      </c>
      <c r="J75" t="n">
        <v>3</v>
      </c>
      <c r="K75" t="n">
        <v>-1.5</v>
      </c>
    </row>
    <row r="76">
      <c r="A76" t="inlineStr">
        <is>
          <t>Selección natural</t>
        </is>
      </c>
      <c r="B76" t="n">
        <v>7</v>
      </c>
      <c r="C76" t="n">
        <v>8.5</v>
      </c>
      <c r="D76" t="n">
        <v>6.5</v>
      </c>
      <c r="E76" t="n">
        <v>9</v>
      </c>
      <c r="F76" t="n">
        <v>8.5</v>
      </c>
      <c r="G76" t="n">
        <v>4</v>
      </c>
      <c r="K76" t="n">
        <v>-1.5</v>
      </c>
    </row>
    <row r="77">
      <c r="A77" t="inlineStr">
        <is>
          <t>Genotipo y fenotipo</t>
        </is>
      </c>
      <c r="B77" t="n">
        <v>7</v>
      </c>
      <c r="C77" t="n">
        <v>8.75</v>
      </c>
      <c r="D77" t="n">
        <v>8.5</v>
      </c>
      <c r="F77" t="n">
        <v>9</v>
      </c>
      <c r="G77" t="n">
        <v>8.5</v>
      </c>
      <c r="K77" t="n">
        <v>-1.75</v>
      </c>
    </row>
    <row r="78">
      <c r="A78" t="inlineStr">
        <is>
          <t>Herencia mendeliana</t>
        </is>
      </c>
      <c r="B78" t="n">
        <v>7</v>
      </c>
      <c r="C78" t="n">
        <v>8.75</v>
      </c>
      <c r="D78" t="n">
        <v>8.5</v>
      </c>
      <c r="E78" t="n">
        <v>9</v>
      </c>
      <c r="F78" t="n">
        <v>9</v>
      </c>
      <c r="G78" t="n">
        <v>8.5</v>
      </c>
      <c r="H78" t="n">
        <v>8</v>
      </c>
      <c r="K78" t="n">
        <v>-1.75</v>
      </c>
    </row>
    <row r="79">
      <c r="A79" t="inlineStr">
        <is>
          <t>Mutaciones</t>
        </is>
      </c>
      <c r="B79" t="n">
        <v>7</v>
      </c>
      <c r="C79" t="n">
        <v>8.75</v>
      </c>
      <c r="D79" t="n">
        <v>8.5</v>
      </c>
      <c r="F79" t="n">
        <v>9</v>
      </c>
      <c r="G79" t="n">
        <v>8.5</v>
      </c>
      <c r="K79" t="n">
        <v>-1.75</v>
      </c>
    </row>
    <row r="80">
      <c r="A80" t="inlineStr">
        <is>
          <t>Selección artificial</t>
        </is>
      </c>
      <c r="B80" t="n">
        <v>7</v>
      </c>
      <c r="C80" t="n">
        <v>8.75</v>
      </c>
      <c r="D80" t="n">
        <v>8.5</v>
      </c>
      <c r="F80" t="n">
        <v>9</v>
      </c>
      <c r="G80" t="n">
        <v>8.5</v>
      </c>
      <c r="K80" t="n">
        <v>-1.75</v>
      </c>
    </row>
    <row r="81">
      <c r="A81" t="inlineStr">
        <is>
          <t>Adaptaciones estructurales</t>
        </is>
      </c>
      <c r="B81" t="n">
        <v>2</v>
      </c>
      <c r="C81" t="n">
        <v>4</v>
      </c>
      <c r="D81" t="n">
        <v>4</v>
      </c>
      <c r="E81" t="n">
        <v>4</v>
      </c>
      <c r="F81" t="n">
        <v>2</v>
      </c>
      <c r="G81" t="n">
        <v>4</v>
      </c>
      <c r="I81" t="n">
        <v>6</v>
      </c>
      <c r="J81" t="n">
        <v>3</v>
      </c>
      <c r="K81" t="n">
        <v>-2</v>
      </c>
    </row>
    <row r="82">
      <c r="A82" t="inlineStr">
        <is>
          <t>Enfermedades infecciosas y no infecciosas</t>
        </is>
      </c>
      <c r="B82" t="n">
        <v>3</v>
      </c>
      <c r="C82" t="n">
        <v>5</v>
      </c>
      <c r="D82" t="n">
        <v>6</v>
      </c>
      <c r="G82" t="n">
        <v>6</v>
      </c>
      <c r="J82" t="n">
        <v>4</v>
      </c>
      <c r="K82" t="n">
        <v>-2</v>
      </c>
    </row>
    <row r="83">
      <c r="A83" t="inlineStr">
        <is>
          <t>Intercambio de gases en animales</t>
        </is>
      </c>
      <c r="B83" t="n">
        <v>3</v>
      </c>
      <c r="C83" t="n">
        <v>5</v>
      </c>
      <c r="D83" t="n">
        <v>5</v>
      </c>
      <c r="G83" t="n">
        <v>6</v>
      </c>
      <c r="H83" t="n">
        <v>5</v>
      </c>
      <c r="I83" t="n">
        <v>5</v>
      </c>
      <c r="J83" t="n">
        <v>5</v>
      </c>
      <c r="K83" t="n">
        <v>-2</v>
      </c>
    </row>
    <row r="84">
      <c r="A84" t="inlineStr">
        <is>
          <t>Niveles de organización de los seres vivos</t>
        </is>
      </c>
      <c r="B84" t="n">
        <v>4</v>
      </c>
      <c r="C84" t="n">
        <v>6</v>
      </c>
      <c r="D84" t="n">
        <v>6</v>
      </c>
      <c r="E84" t="n">
        <v>7</v>
      </c>
      <c r="F84" t="n">
        <v>4.5</v>
      </c>
      <c r="G84" t="n">
        <v>6</v>
      </c>
      <c r="I84" t="n">
        <v>6</v>
      </c>
      <c r="J84" t="n">
        <v>4</v>
      </c>
      <c r="K84" t="n">
        <v>-2</v>
      </c>
    </row>
    <row r="85">
      <c r="A85" t="inlineStr">
        <is>
          <t>Niveles de organización ecológica</t>
        </is>
      </c>
      <c r="B85" t="n">
        <v>4</v>
      </c>
      <c r="C85" t="n">
        <v>6</v>
      </c>
      <c r="D85" t="n">
        <v>7.25</v>
      </c>
      <c r="G85" t="n">
        <v>8.5</v>
      </c>
      <c r="I85" t="n">
        <v>6</v>
      </c>
      <c r="J85" t="n">
        <v>6</v>
      </c>
      <c r="K85" t="n">
        <v>-2</v>
      </c>
    </row>
    <row r="86">
      <c r="A86" t="inlineStr">
        <is>
          <t>Nutrientes y sus funciones</t>
        </is>
      </c>
      <c r="B86" t="n">
        <v>4</v>
      </c>
      <c r="C86" t="n">
        <v>6</v>
      </c>
      <c r="D86" t="n">
        <v>6</v>
      </c>
      <c r="F86" t="n">
        <v>6.5</v>
      </c>
      <c r="G86" t="n">
        <v>6</v>
      </c>
      <c r="J86" t="n">
        <v>3</v>
      </c>
      <c r="K86" t="n">
        <v>-2</v>
      </c>
    </row>
    <row r="87">
      <c r="A87" t="inlineStr">
        <is>
          <t>Redes tróficas</t>
        </is>
      </c>
      <c r="B87" t="n">
        <v>4</v>
      </c>
      <c r="C87" t="n">
        <v>6</v>
      </c>
      <c r="D87" t="n">
        <v>6</v>
      </c>
      <c r="E87" t="n">
        <v>6</v>
      </c>
      <c r="F87" t="n">
        <v>4</v>
      </c>
      <c r="G87" t="n">
        <v>6</v>
      </c>
      <c r="I87" t="n">
        <v>6</v>
      </c>
      <c r="J87" t="n">
        <v>6</v>
      </c>
      <c r="K87" t="n">
        <v>-2</v>
      </c>
    </row>
    <row r="88">
      <c r="A88" t="inlineStr">
        <is>
          <t>Simbiosis: mutualismo, comensalismo y parasitismo</t>
        </is>
      </c>
      <c r="B88" t="n">
        <v>4</v>
      </c>
      <c r="C88" t="n">
        <v>6</v>
      </c>
      <c r="D88" t="n">
        <v>6</v>
      </c>
      <c r="F88" t="n">
        <v>3</v>
      </c>
      <c r="G88" t="n">
        <v>6</v>
      </c>
      <c r="J88" t="n">
        <v>6</v>
      </c>
      <c r="K88" t="n">
        <v>-2</v>
      </c>
    </row>
    <row r="89">
      <c r="A89" t="inlineStr">
        <is>
          <t>Historia de la vida en la Tierra</t>
        </is>
      </c>
      <c r="B89" t="n">
        <v>5</v>
      </c>
      <c r="C89" t="n">
        <v>7.25</v>
      </c>
      <c r="D89" t="n">
        <v>8</v>
      </c>
      <c r="F89" t="n">
        <v>6.5</v>
      </c>
      <c r="H89" t="n">
        <v>8</v>
      </c>
      <c r="K89" t="n">
        <v>-2.25</v>
      </c>
    </row>
    <row r="90">
      <c r="A90" t="inlineStr">
        <is>
          <t>Microorganismos</t>
        </is>
      </c>
      <c r="B90" t="n">
        <v>2</v>
      </c>
      <c r="C90" t="n">
        <v>4.25</v>
      </c>
      <c r="D90" t="n">
        <v>6</v>
      </c>
      <c r="F90" t="n">
        <v>4.5</v>
      </c>
      <c r="G90" t="n">
        <v>4</v>
      </c>
      <c r="H90" t="n">
        <v>8</v>
      </c>
      <c r="J90" t="n">
        <v>4</v>
      </c>
      <c r="K90" t="n">
        <v>-2.25</v>
      </c>
    </row>
    <row r="91">
      <c r="A91" t="inlineStr">
        <is>
          <t>ADN y cromosomas</t>
        </is>
      </c>
      <c r="B91" t="n">
        <v>6</v>
      </c>
      <c r="C91" t="n">
        <v>8.5</v>
      </c>
      <c r="D91" t="n">
        <v>7.5</v>
      </c>
      <c r="E91" t="n">
        <v>9</v>
      </c>
      <c r="F91" t="n">
        <v>8.5</v>
      </c>
      <c r="G91" t="n">
        <v>6</v>
      </c>
      <c r="K91" t="n">
        <v>-2.5</v>
      </c>
    </row>
    <row r="92">
      <c r="A92" t="inlineStr">
        <is>
          <t>Energía de los alimentos y balance energético</t>
        </is>
      </c>
      <c r="B92" t="n">
        <v>4</v>
      </c>
      <c r="C92" t="n">
        <v>6.5</v>
      </c>
      <c r="D92" t="n">
        <v>6</v>
      </c>
      <c r="F92" t="n">
        <v>6.5</v>
      </c>
      <c r="G92" t="n">
        <v>6</v>
      </c>
      <c r="J92" t="n">
        <v>8</v>
      </c>
      <c r="K92" t="n">
        <v>-2.5</v>
      </c>
    </row>
    <row r="93">
      <c r="A93" t="inlineStr">
        <is>
          <t>Grandes grupos taxonómicos</t>
        </is>
      </c>
      <c r="B93" t="n">
        <v>2</v>
      </c>
      <c r="C93" t="n">
        <v>4.5</v>
      </c>
      <c r="D93" t="n">
        <v>4</v>
      </c>
      <c r="F93" t="n">
        <v>4.5</v>
      </c>
      <c r="G93" t="n">
        <v>4</v>
      </c>
      <c r="H93" t="n">
        <v>6</v>
      </c>
      <c r="I93" t="n">
        <v>3</v>
      </c>
      <c r="J93" t="n">
        <v>6</v>
      </c>
      <c r="K93" t="n">
        <v>-2.5</v>
      </c>
    </row>
    <row r="94">
      <c r="A94" t="inlineStr">
        <is>
          <t>Grupos de vertebrados</t>
        </is>
      </c>
      <c r="B94" t="n">
        <v>2</v>
      </c>
      <c r="C94" t="n">
        <v>4.5</v>
      </c>
      <c r="D94" t="n">
        <v>3</v>
      </c>
      <c r="F94" t="n">
        <v>8.5</v>
      </c>
      <c r="G94" t="n">
        <v>2</v>
      </c>
      <c r="H94" t="n">
        <v>6</v>
      </c>
      <c r="I94" t="n">
        <v>3</v>
      </c>
      <c r="K94" t="n">
        <v>-2.5</v>
      </c>
    </row>
    <row r="95">
      <c r="A95" t="inlineStr">
        <is>
          <t>Invertebrados e insectos</t>
        </is>
      </c>
      <c r="B95" t="n">
        <v>2</v>
      </c>
      <c r="C95" t="n">
        <v>4.5</v>
      </c>
      <c r="D95" t="n">
        <v>3</v>
      </c>
      <c r="F95" t="n">
        <v>8.5</v>
      </c>
      <c r="G95" t="n">
        <v>6</v>
      </c>
      <c r="H95" t="n">
        <v>2</v>
      </c>
      <c r="I95" t="n">
        <v>3</v>
      </c>
      <c r="K95" t="n">
        <v>-2.5</v>
      </c>
    </row>
    <row r="96">
      <c r="A96" t="inlineStr">
        <is>
          <t>Impacto humano en los ecosistemas</t>
        </is>
      </c>
      <c r="B96" t="n">
        <v>2</v>
      </c>
      <c r="C96" t="n">
        <v>5</v>
      </c>
      <c r="D96" t="n">
        <v>5</v>
      </c>
      <c r="F96" t="n">
        <v>4.5</v>
      </c>
      <c r="G96" t="n">
        <v>2</v>
      </c>
      <c r="H96" t="n">
        <v>5</v>
      </c>
      <c r="I96" t="n">
        <v>6</v>
      </c>
      <c r="J96" t="n">
        <v>5</v>
      </c>
      <c r="K96" t="n">
        <v>-3</v>
      </c>
    </row>
    <row r="97">
      <c r="A97" t="inlineStr">
        <is>
          <t>Meiosis</t>
        </is>
      </c>
      <c r="B97" t="n">
        <v>6</v>
      </c>
      <c r="C97" t="n">
        <v>9</v>
      </c>
      <c r="D97" t="n">
        <v>9</v>
      </c>
      <c r="E97" t="n">
        <v>9</v>
      </c>
      <c r="F97" t="n">
        <v>6.5</v>
      </c>
      <c r="J97" t="n">
        <v>9</v>
      </c>
      <c r="K97" t="n">
        <v>-3</v>
      </c>
    </row>
    <row r="98">
      <c r="A98" t="inlineStr">
        <is>
          <t>Sistema nervioso</t>
        </is>
      </c>
      <c r="B98" t="n">
        <v>4</v>
      </c>
      <c r="C98" t="n">
        <v>7</v>
      </c>
      <c r="D98" t="n">
        <v>8</v>
      </c>
      <c r="E98" t="n">
        <v>8</v>
      </c>
      <c r="F98" t="n">
        <v>4.5</v>
      </c>
      <c r="G98" t="n">
        <v>8.5</v>
      </c>
      <c r="H98" t="n">
        <v>7</v>
      </c>
      <c r="J98" t="n">
        <v>4</v>
      </c>
      <c r="K98" t="n">
        <v>-3</v>
      </c>
    </row>
    <row r="99">
      <c r="A99" t="inlineStr">
        <is>
          <t>Respuesta de los seres vivos a estímulos</t>
        </is>
      </c>
      <c r="B99" t="n">
        <v>2</v>
      </c>
      <c r="C99" t="n">
        <v>5.5</v>
      </c>
      <c r="D99" t="n">
        <v>5.5</v>
      </c>
      <c r="E99" t="n">
        <v>8</v>
      </c>
      <c r="G99" t="n">
        <v>8.5</v>
      </c>
      <c r="H99" t="n">
        <v>3</v>
      </c>
      <c r="I99" t="n">
        <v>3</v>
      </c>
      <c r="K99" t="n">
        <v>-3.5</v>
      </c>
    </row>
    <row r="100">
      <c r="A100" t="inlineStr">
        <is>
          <t>Biodiversidad</t>
        </is>
      </c>
      <c r="B100" t="n">
        <v>2</v>
      </c>
      <c r="C100" t="n">
        <v>6</v>
      </c>
      <c r="D100" t="n">
        <v>6</v>
      </c>
      <c r="E100" t="n">
        <v>6</v>
      </c>
      <c r="F100" t="n">
        <v>6</v>
      </c>
      <c r="G100" t="n">
        <v>6</v>
      </c>
      <c r="H100" t="n">
        <v>6</v>
      </c>
      <c r="J100" t="n">
        <v>3</v>
      </c>
      <c r="K100" t="n">
        <v>-4</v>
      </c>
    </row>
    <row r="101">
      <c r="A101" t="inlineStr">
        <is>
          <t>Conservación de la biodiversidad</t>
        </is>
      </c>
      <c r="B101" t="n">
        <v>2</v>
      </c>
      <c r="C101" t="n">
        <v>6</v>
      </c>
      <c r="D101" t="n">
        <v>6</v>
      </c>
      <c r="F101" t="n">
        <v>8.5</v>
      </c>
      <c r="G101" t="n">
        <v>6</v>
      </c>
      <c r="H101" t="n">
        <v>8</v>
      </c>
      <c r="I101" t="n">
        <v>6</v>
      </c>
      <c r="J101" t="n">
        <v>5</v>
      </c>
      <c r="K101" t="n">
        <v>-4</v>
      </c>
    </row>
    <row r="102">
      <c r="A102" t="inlineStr">
        <is>
          <t>Contagio y prevención de enfermedades</t>
        </is>
      </c>
      <c r="B102" t="n">
        <v>2</v>
      </c>
      <c r="C102" t="n">
        <v>6</v>
      </c>
      <c r="D102" t="n">
        <v>8.5</v>
      </c>
      <c r="F102" t="n">
        <v>4.5</v>
      </c>
      <c r="G102" t="n">
        <v>8.5</v>
      </c>
      <c r="J102" t="n">
        <v>6</v>
      </c>
      <c r="K102" t="n">
        <v>-4</v>
      </c>
    </row>
    <row r="103">
      <c r="A103" t="inlineStr">
        <is>
          <t>Contaminación y sus efectos en los seres vivos</t>
        </is>
      </c>
      <c r="B103" t="n">
        <v>2</v>
      </c>
      <c r="C103" t="n">
        <v>6</v>
      </c>
      <c r="D103" t="n">
        <v>6</v>
      </c>
      <c r="F103" t="n">
        <v>6.5</v>
      </c>
      <c r="G103" t="n">
        <v>6</v>
      </c>
      <c r="I103" t="n">
        <v>6</v>
      </c>
      <c r="J103" t="n">
        <v>3</v>
      </c>
      <c r="K103" t="n">
        <v>-4</v>
      </c>
    </row>
    <row r="104">
      <c r="A104" t="inlineStr">
        <is>
          <t>Sistema excretor</t>
        </is>
      </c>
      <c r="B104" t="n">
        <v>4</v>
      </c>
      <c r="C104" t="n">
        <v>8</v>
      </c>
      <c r="D104" t="n">
        <v>5</v>
      </c>
      <c r="F104" t="n">
        <v>8</v>
      </c>
      <c r="H104" t="n">
        <v>5</v>
      </c>
      <c r="J104" t="n">
        <v>8</v>
      </c>
      <c r="K104" t="n">
        <v>-4</v>
      </c>
    </row>
    <row r="105">
      <c r="A105" t="inlineStr">
        <is>
          <t>Sostenibilidad de la biosfera</t>
        </is>
      </c>
      <c r="B105" t="n">
        <v>2</v>
      </c>
      <c r="C105" t="n">
        <v>6</v>
      </c>
      <c r="D105" t="n">
        <v>8</v>
      </c>
      <c r="H105" t="n">
        <v>8</v>
      </c>
      <c r="J105" t="n">
        <v>4</v>
      </c>
      <c r="K105" t="n">
        <v>-4</v>
      </c>
    </row>
    <row r="106">
      <c r="A106" t="inlineStr">
        <is>
          <t>Grupos de alimentos y dieta balanceada</t>
        </is>
      </c>
      <c r="B106" t="n">
        <v>2</v>
      </c>
      <c r="C106" t="n">
        <v>6.5</v>
      </c>
      <c r="D106" t="n">
        <v>2</v>
      </c>
      <c r="F106" t="n">
        <v>6.5</v>
      </c>
      <c r="G106" t="n">
        <v>2</v>
      </c>
      <c r="J106" t="n">
        <v>8</v>
      </c>
      <c r="K106" t="n">
        <v>-4.5</v>
      </c>
    </row>
    <row r="107">
      <c r="A107" t="inlineStr">
        <is>
          <t>Tipos de patógenos</t>
        </is>
      </c>
      <c r="B107" t="n">
        <v>3</v>
      </c>
      <c r="C107" t="n">
        <v>8.75</v>
      </c>
      <c r="D107" t="n">
        <v>8.5</v>
      </c>
      <c r="G107" t="n">
        <v>8.5</v>
      </c>
      <c r="J107" t="n">
        <v>9</v>
      </c>
      <c r="K107" t="n">
        <v>-5.75</v>
      </c>
    </row>
    <row r="108">
      <c r="A108" t="inlineStr">
        <is>
          <t>Inmunidad activa, pasiva y vacunas</t>
        </is>
      </c>
      <c r="B108" t="n">
        <v>2</v>
      </c>
      <c r="C108" t="n">
        <v>8.75</v>
      </c>
      <c r="D108" t="n">
        <v>8.5</v>
      </c>
      <c r="G108" t="n">
        <v>8.5</v>
      </c>
      <c r="J108" t="n">
        <v>9</v>
      </c>
      <c r="K108" t="n">
        <v>-6.75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Brechas · Biología</t>
        </is>
      </c>
      <c r="B1" s="1" t="inlineStr">
        <is>
          <t>Valor</t>
        </is>
      </c>
    </row>
    <row r="2">
      <c r="A2" t="inlineStr">
        <is>
          <t>Conceptos comparables con los países</t>
        </is>
      </c>
      <c r="B2">
        <f>COUNTA(Oportunidad!A2:A108)</f>
        <v/>
      </c>
    </row>
    <row r="3">
      <c r="A3" t="inlineStr">
        <is>
          <t>Llegan 2 o más grados tarde</t>
        </is>
      </c>
      <c r="B3">
        <f>COUNTIF(Oportunidad!K2:K108,"&gt;=2")</f>
        <v/>
      </c>
    </row>
    <row r="4">
      <c r="A4" t="inlineStr">
        <is>
          <t>Llegan 2 o más grados antes</t>
        </is>
      </c>
      <c r="B4">
        <f>COUNTIF(Oportunidad!K2:K108,"&lt;=-2")</f>
        <v/>
      </c>
    </row>
    <row r="5">
      <c r="A5" t="inlineStr">
        <is>
          <t>Oportunidad promedio (grados)</t>
        </is>
      </c>
      <c r="B5">
        <f>AVERAGE(Oportunidad!K2:K108)</f>
        <v/>
      </c>
    </row>
    <row r="6">
      <c r="A6" t="inlineStr">
        <is>
          <t>Errores de secuencia (todos)</t>
        </is>
      </c>
      <c r="B6" t="n">
        <v>17</v>
      </c>
    </row>
    <row r="7">
      <c r="A7" t="inlineStr">
        <is>
          <t>Errores de secuencia (confianza alta)</t>
        </is>
      </c>
      <c r="B7" t="n">
        <v>9</v>
      </c>
    </row>
    <row r="9">
      <c r="A9" t="inlineStr">
        <is>
          <t>Oportunidad = primer grado en El Salvador − mediana de los países de referencia (grado equivalente por edad de ingreso). Positivo: El Salvador llega tarde. Fuente: gskg brechas.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