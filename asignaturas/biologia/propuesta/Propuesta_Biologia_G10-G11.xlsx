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Distribu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E4D3A"/>
      </patternFill>
    </fill>
    <fill>
      <patternFill patternType="solid">
        <fgColor rgb="00F2F2F2"/>
      </patternFill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9" customWidth="1" min="4" max="4"/>
    <col width="9" customWidth="1" min="5" max="5"/>
    <col width="10" customWidth="1" min="6" max="6"/>
    <col width="26" customWidth="1" min="7" max="7"/>
    <col width="48" customWidth="1" min="8" max="8"/>
    <col width="44" customWidth="1" min="9" max="9"/>
    <col width="32" customWidth="1" min="10" max="10"/>
    <col width="34" customWidth="1" min="11" max="11"/>
    <col width="48" customWidth="1" min="12" max="12"/>
  </cols>
  <sheetData>
    <row r="1">
      <c r="A1" s="1" t="inlineStr">
        <is>
          <t>N</t>
        </is>
      </c>
      <c r="B1" s="1" t="inlineStr">
        <is>
          <t>Acción</t>
        </is>
      </c>
      <c r="C1" s="1" t="inlineStr">
        <is>
          <t>Temas afectados</t>
        </is>
      </c>
      <c r="D1" s="1" t="inlineStr">
        <is>
          <t>N.° de temas</t>
        </is>
      </c>
      <c r="E1" s="1" t="inlineStr">
        <is>
          <t>Grado actual</t>
        </is>
      </c>
      <c r="F1" s="1" t="inlineStr">
        <is>
          <t>Grado propuesto</t>
        </is>
      </c>
      <c r="G1" s="1" t="inlineStr">
        <is>
          <t>Unidad propuesta</t>
        </is>
      </c>
      <c r="H1" s="1" t="inlineStr">
        <is>
          <t>Tema propuesto</t>
        </is>
      </c>
      <c r="I1" s="1" t="inlineStr">
        <is>
          <t>Indicador de logro</t>
        </is>
      </c>
      <c r="J1" s="1" t="inlineStr">
        <is>
          <t>Conceptos</t>
        </is>
      </c>
      <c r="K1" s="1" t="inlineStr">
        <is>
          <t>Evidencia</t>
        </is>
      </c>
      <c r="L1" s="1" t="inlineStr">
        <is>
          <t>Justificación</t>
        </is>
      </c>
    </row>
    <row r="2">
      <c r="A2" s="2" t="n">
        <v>1</v>
      </c>
      <c r="B2" s="2" t="inlineStr">
        <is>
          <t>mover</t>
        </is>
      </c>
      <c r="C2" s="2" t="inlineStr">
        <is>
          <t>G11-BIO-U3-3.3, G11-BIO-U3-3.2</t>
        </is>
      </c>
      <c r="D2" s="2" t="n">
        <v>2</v>
      </c>
      <c r="E2" s="2" t="n">
        <v>11</v>
      </c>
      <c r="F2" s="2" t="n">
        <v>10</v>
      </c>
      <c r="G2" s="2" t="inlineStr">
        <is>
          <t>9. La célula: estructura, membranas e intercambio (nueva en 10.°; ubicar entre las unidades 1 y 2)</t>
        </is>
      </c>
      <c r="H2" s="2" t="inlineStr">
        <is>
          <t>9.1. Comparación de las células procariotas y eucariotas, animales y vegetales, y de la función de sus organelos. | 9.4. Identificación con técnicas de tinción de células, tejidos y órganos y de la organización jerárquica de los organismos multicelulares.</t>
        </is>
      </c>
      <c r="I2" s="2" t="inlineStr">
        <is>
          <t>Elabora, a partir de micrografías o preparaciones propias, un cuadro comparativo de tamaño, núcleo, organelos membranosos y cromosoma de células procariotas y eucariotas, y relaciona cloroplastos, mitocondrias y retículo con su función. | Ordena en un esquema célula, tejido, órgano y sistema con ejemplos vegetales y animales teñidos y relaciona la forma de cada tejido con su función.</t>
        </is>
      </c>
      <c r="J2" s="2" t="inlineStr">
        <is>
          <t>Célula procariota y eucariota, Célula animal y célula vegetal, Organelos de la célula eucariota, Niveles de organización de los seres vivos, Tejidos vegetales</t>
        </is>
      </c>
      <c r="K2" s="2" t="inlineStr">
        <is>
          <t>mover_antes: Célula animal y célula vegetal (CO 6, UY 7), sin bloqueos; ACSBL048 (0 temas) y ACSBL049 (1 tema, débil); ACSBL054 (0 temas) y ACSBL055 (1 tema, débil); prerrequisito: Estructuras celulares básicas y Diferenciación celular (6.°)</t>
        </is>
      </c>
      <c r="L2" s="2" t="inlineStr">
        <is>
          <t>Ambos temas son biología celular dentro de la unidad agroindustrial de 11.°. En 10.° abren la unidad de célula que ACARA ubica en la unidad 2 y cubren procariotas, organelos y organización jerárquica sin gastar presupuesto.</t>
        </is>
      </c>
    </row>
    <row r="3">
      <c r="A3" s="3" t="n">
        <v>2</v>
      </c>
      <c r="B3" s="3" t="inlineStr">
        <is>
          <t>fusionar</t>
        </is>
      </c>
      <c r="C3" s="3" t="inlineStr">
        <is>
          <t>G10-BIO-U1-1.1, G10-BIO-U1-1.2</t>
        </is>
      </c>
      <c r="D3" s="3" t="n">
        <v>2</v>
      </c>
      <c r="E3" s="3" t="n">
        <v>10</v>
      </c>
      <c r="F3" s="3" t="n">
        <v>10</v>
      </c>
      <c r="G3" s="3" t="inlineStr">
        <is>
          <t>1. Biomoléculas</t>
        </is>
      </c>
      <c r="H3" s="3" t="inlineStr">
        <is>
          <t>1.1. Identificación de la estructura, la clasificación y las propiedades de los carbohidratos.</t>
        </is>
      </c>
      <c r="I3" s="3" t="inlineStr">
        <is>
          <t>Clasifica carbohidratos de alimentos comunes en mono, di y polisacáridos a partir de su estructura y comprueba alguna de sus propiedades con pruebas sencillas.</t>
        </is>
      </c>
      <c r="J3" s="3" t="inlineStr">
        <is>
          <t>Biomoléculas</t>
        </is>
      </c>
      <c r="K3" s="3" t="inlineStr">
        <is>
          <t>fusión: ambos temas trabajan Biomoléculas (carbohidratos); ambos FUERA del marco AUSS (biomoléculas en detalle)</t>
        </is>
      </c>
      <c r="L3" s="3" t="inlineStr">
        <is>
          <t>Estructura y clasificación de carbohidratos son el mismo contenido y ACARA no lo pide con ese detalle. La fusión paga la membrana celular (acción 3).</t>
        </is>
      </c>
    </row>
    <row r="4">
      <c r="A4" s="2" t="n">
        <v>3</v>
      </c>
      <c r="B4" s="2" t="inlineStr">
        <is>
          <t>nuevo</t>
        </is>
      </c>
      <c r="C4" s="2" t="inlineStr"/>
      <c r="D4" s="2" t="n">
        <v>0</v>
      </c>
      <c r="E4" s="2" t="n"/>
      <c r="F4" s="2" t="n">
        <v>10</v>
      </c>
      <c r="G4" s="2" t="inlineStr">
        <is>
          <t>9. La célula: estructura, membranas e intercambio (nueva en 10.°; ubicar entre las unidades 1 y 2)</t>
        </is>
      </c>
      <c r="H4" s="2" t="inlineStr">
        <is>
          <t>9.2. Explicación de la estructura de la membrana celular y de su papel como límite que regula el intercambio con el entorno.</t>
        </is>
      </c>
      <c r="I4" s="2" t="inlineStr">
        <is>
          <t>Representa con un modelo de mosaico fluido la bicapa de fosfolípidos y sus proteínas y explica cómo regula la entrada y salida de gases, nutrientes y desechos.</t>
        </is>
      </c>
      <c r="J4" s="2" t="inlineStr">
        <is>
          <t>Membrana celular</t>
        </is>
      </c>
      <c r="K4" s="2" t="inlineStr">
        <is>
          <t>ACSBL045 (0 temas en 10.°–11.°); AUSS unidad 2 (≈ 10.°); prerrequisito: Biomoléculas (unidad 1 de 10.°) y Estructuras celulares básicas (6.°)</t>
        </is>
      </c>
      <c r="L4" s="2" t="inlineStr">
        <is>
          <t>La membrana solo se trabaja en 6.°. Es la base del transporte y del intercambio que ACARA desarrolla en la unidad 2. Va después de lípidos y proteínas. Se paga con la fusión 2.</t>
        </is>
      </c>
    </row>
    <row r="5">
      <c r="A5" s="3" t="n">
        <v>4</v>
      </c>
      <c r="B5" s="3" t="inlineStr">
        <is>
          <t>fusionar</t>
        </is>
      </c>
      <c r="C5" s="3" t="inlineStr">
        <is>
          <t>G10-BIO-U1-1.4, G10-BIO-U1-1.5</t>
        </is>
      </c>
      <c r="D5" s="3" t="n">
        <v>2</v>
      </c>
      <c r="E5" s="3" t="n">
        <v>10</v>
      </c>
      <c r="F5" s="3" t="n">
        <v>10</v>
      </c>
      <c r="G5" s="3" t="inlineStr">
        <is>
          <t>1. Biomoléculas</t>
        </is>
      </c>
      <c r="H5" s="3" t="inlineStr">
        <is>
          <t>1.4. Reconocimiento, extracción y clasificación general de los lípidos.</t>
        </is>
      </c>
      <c r="I5" s="3" t="inlineStr">
        <is>
          <t>Extrae lípidos de una muestra vegetal o animal, los clasifica y relaciona los fosfolípidos con la estructura de las membranas.</t>
        </is>
      </c>
      <c r="J5" s="3" t="inlineStr">
        <is>
          <t>Biomoléculas</t>
        </is>
      </c>
      <c r="K5" s="3" t="inlineStr">
        <is>
          <t>fusión: ambos temas trabajan Biomoléculas (lípidos); ambos FUERA del marco AUSS</t>
        </is>
      </c>
      <c r="L5" s="3" t="inlineStr">
        <is>
          <t>Reconocer y extraer lípidos se resuelve en una misma práctica. Se orienta a los fosfolípidos para preparar la membrana. La fusión paga el transporte por membranas (acción 5).</t>
        </is>
      </c>
    </row>
    <row r="6">
      <c r="A6" s="2" t="n">
        <v>5</v>
      </c>
      <c r="B6" s="2" t="inlineStr">
        <is>
          <t>nuevo</t>
        </is>
      </c>
      <c r="C6" s="2" t="inlineStr"/>
      <c r="D6" s="2" t="n">
        <v>0</v>
      </c>
      <c r="E6" s="2" t="n"/>
      <c r="F6" s="2" t="n">
        <v>10</v>
      </c>
      <c r="G6" s="2" t="inlineStr">
        <is>
          <t>9. La célula: estructura, membranas e intercambio (nueva en 10.°; ubicar entre las unidades 1 y 2)</t>
        </is>
      </c>
      <c r="H6" s="2" t="inlineStr">
        <is>
          <t>9.3. Experimentación con la difusión y la ósmosis y con los factores que modifican el intercambio a través de la membrana.</t>
        </is>
      </c>
      <c r="I6" s="2" t="inlineStr">
        <is>
          <t>Diseña un experimento con cubos de agar o tejidos vegetales para medir cómo la relación superficie-volumen y el gradiente de concentración cambian la velocidad de difusión u ósmosis.</t>
        </is>
      </c>
      <c r="J6" s="2" t="inlineStr">
        <is>
          <t>Difusión y ósmosis, Relación superficie-volumen</t>
        </is>
      </c>
      <c r="K6" s="2" t="inlineStr">
        <is>
          <t>ACSBL046 y ACSBL047 (0 temas en 10.°–11.°); AUSS unidad 2 (≈ 10.°); prerrequisito: Membrana celular (acción 3)</t>
        </is>
      </c>
      <c r="L6" s="2" t="inlineStr">
        <is>
          <t>El transporte por membranas no aparece en Bachillerato. Se trabaja de forma experimental y cuantitativa, más allá de 6.°. Va después de la membrana. Se paga con la fusión 4.</t>
        </is>
      </c>
    </row>
    <row r="7">
      <c r="A7" s="3" t="n">
        <v>6</v>
      </c>
      <c r="B7" s="3" t="inlineStr">
        <is>
          <t>revisar</t>
        </is>
      </c>
      <c r="C7" s="3" t="inlineStr">
        <is>
          <t>G10-BIO-U2-2.6</t>
        </is>
      </c>
      <c r="D7" s="3" t="n">
        <v>1</v>
      </c>
      <c r="E7" s="3" t="n">
        <v>10</v>
      </c>
      <c r="F7" s="3" t="n">
        <v>10</v>
      </c>
      <c r="G7" s="3" t="inlineStr">
        <is>
          <t>2. Biología celular (después de la unidad 9)</t>
        </is>
      </c>
      <c r="H7" s="3" t="inlineStr">
        <is>
          <t>2.6. Explicación del transporte activo y la endocitosis como procesos celulares que consumen ATP.</t>
        </is>
      </c>
      <c r="I7" s="3" t="inlineStr">
        <is>
          <t>Distingue en esquemas el transporte pasivo, el transporte activo (bomba de sodio-potasio) y la endocitosis y explica por qué solo los dos últimos requieren ATP.</t>
        </is>
      </c>
      <c r="J7" s="3" t="inlineStr">
        <is>
          <t>Transporte activo y endocitosis, ATP y energía en los sistemas vivos</t>
        </is>
      </c>
      <c r="K7" s="3" t="inlineStr">
        <is>
          <t>ACSBL046 (0 temas); prerrequisito: Difusión y ósmosis (acción 5) y ATP (2.1–2.5)</t>
        </is>
      </c>
      <c r="L7" s="3" t="inlineStr">
        <is>
          <t>El tema ya trabaja el transporte activo, pero se alineó solo con energía celular. Se reformula para cubrir explícitamente el transporte activo y la endocitosis, después de la difusión.</t>
        </is>
      </c>
    </row>
    <row r="8">
      <c r="A8" s="2" t="n">
        <v>7</v>
      </c>
      <c r="B8" s="2" t="inlineStr">
        <is>
          <t>fusionar</t>
        </is>
      </c>
      <c r="C8" s="2" t="inlineStr">
        <is>
          <t>G10-BIO-U2-2.4, G10-BIO-U2-2.5</t>
        </is>
      </c>
      <c r="D8" s="2" t="n">
        <v>2</v>
      </c>
      <c r="E8" s="2" t="n">
        <v>10</v>
      </c>
      <c r="F8" s="2" t="n">
        <v>10</v>
      </c>
      <c r="G8" s="2" t="inlineStr">
        <is>
          <t>2. Biología celular</t>
        </is>
      </c>
      <c r="H8" s="2" t="inlineStr">
        <is>
          <t>2.4. Indagación del concepto y de los tipos de energía biológicamente útil con simulaciones o manipulativos.</t>
        </is>
      </c>
      <c r="I8" s="2" t="inlineStr">
        <is>
          <t>Explica con un modelo o simulación qué es la energía biológicamente útil y reconoce sus tipos en procesos celulares.</t>
        </is>
      </c>
      <c r="J8" s="2" t="inlineStr">
        <is>
          <t>ATP y energía en los sistemas vivos</t>
        </is>
      </c>
      <c r="K8" s="2" t="inlineStr">
        <is>
          <t>fusión: ambos temas trabajan ATP y energía en los sistemas vivos (ACSBL044 y ACSBL053, 9 y 15 temas)</t>
        </is>
      </c>
      <c r="L8" s="2" t="inlineStr">
        <is>
          <t>Concepto y tipos de energía biológicamente útil son dos caras del mismo contenido, que ya tiene muchos temas. La fusión paga las superficies de intercambio (acción 8).</t>
        </is>
      </c>
    </row>
    <row r="9">
      <c r="A9" s="3" t="n">
        <v>8</v>
      </c>
      <c r="B9" s="3" t="inlineStr">
        <is>
          <t>nuevo</t>
        </is>
      </c>
      <c r="C9" s="3" t="inlineStr"/>
      <c r="D9" s="3" t="n">
        <v>0</v>
      </c>
      <c r="E9" s="3" t="n"/>
      <c r="F9" s="3" t="n">
        <v>10</v>
      </c>
      <c r="G9" s="3" t="inlineStr">
        <is>
          <t>9. La célula: estructura, membranas e intercambio (nueva en 10.°; ubicar entre las unidades 1 y 2)</t>
        </is>
      </c>
      <c r="H9" s="3" t="inlineStr">
        <is>
          <t>9.5. Relación de la estructura de alvéolos, vellosidades intestinales, nefronas y estomas con el intercambio de sustancias.</t>
        </is>
      </c>
      <c r="I9" s="3" t="inlineStr">
        <is>
          <t>Explica con esquemas o preparaciones cómo la superficie, el grosor y la irrigación de alvéolos, vellosidades, nefronas y estomas facilitan el intercambio y lo relaciona con la relación superficie-volumen.</t>
        </is>
      </c>
      <c r="J9" s="3" t="inlineStr">
        <is>
          <t>Intercambio de gases en animales, Intercambio de gases en plantas, Sistema digestivo, Sistema excretor, Relación superficie-volumen</t>
        </is>
      </c>
      <c r="K9" s="3" t="inlineStr">
        <is>
          <t>ACSBL057 y ACSBL059 (0 temas); ACSBL056 (1 tema, débil); AUSS unidad 2 (≈ 10.°); prerrequisito: Difusión y ósmosis (acción 5) y organización en tejidos (acción 1)</t>
        </is>
      </c>
      <c r="L9" s="3" t="inlineStr">
        <is>
          <t>Bachillerato no trabaja el intercambio a nivel de tejidos. Un tema integrador cierra la unidad 9 con los cuatro ejemplos de ACARA. Se paga con la fusión 7.</t>
        </is>
      </c>
    </row>
    <row r="10">
      <c r="A10" s="2" t="n">
        <v>9</v>
      </c>
      <c r="B10" s="2" t="inlineStr">
        <is>
          <t>fusionar</t>
        </is>
      </c>
      <c r="C10" s="2" t="inlineStr">
        <is>
          <t>G11-BIO-U3-3.4, G11-BIO-U3-3.5</t>
        </is>
      </c>
      <c r="D10" s="2" t="n">
        <v>2</v>
      </c>
      <c r="E10" s="2" t="n">
        <v>11</v>
      </c>
      <c r="F10" s="2" t="n">
        <v>11</v>
      </c>
      <c r="G10" s="2" t="inlineStr">
        <is>
          <t>3. Biotecnología vegetal y agroindustria</t>
        </is>
      </c>
      <c r="H10" s="2" t="inlineStr">
        <is>
          <t>3.4. Experimentación con técnicas de propagación vegetativa y valoración del tipo de reproducción en la producción agrícola.</t>
        </is>
      </c>
      <c r="I10" s="2" t="inlineStr">
        <is>
          <t>Propaga una planta por un método vegetativo y argumenta ventajas y riesgos de la reproducción asexual frente a la sexual para un cultivo.</t>
        </is>
      </c>
      <c r="J10" s="2" t="inlineStr">
        <is>
          <t>Reproducción sexual y asexual, Biotecnología vegetal y agroindustria</t>
        </is>
      </c>
      <c r="K10" s="2" t="inlineStr">
        <is>
          <t>fusión: ambos temas trabajan Reproducción sexual y asexual; 3.5 FUERA del marco AUSS</t>
        </is>
      </c>
      <c r="L10" s="2" t="inlineStr">
        <is>
          <t>La propagación vegetativa ya se practica en 5.°–6.° y aquí ocupa dos temas. Unirlos libera uno para la inmunidad innata (acción 10).</t>
        </is>
      </c>
    </row>
    <row r="11">
      <c r="A11" s="3" t="n">
        <v>10</v>
      </c>
      <c r="B11" s="3" t="inlineStr">
        <is>
          <t>nuevo</t>
        </is>
      </c>
      <c r="C11" s="3" t="inlineStr"/>
      <c r="D11" s="3" t="n">
        <v>0</v>
      </c>
      <c r="E11" s="3" t="n"/>
      <c r="F11" s="3" t="n">
        <v>10</v>
      </c>
      <c r="G11" s="3" t="inlineStr">
        <is>
          <t>3. Anatomía y fisiología humana (después de 3.10)</t>
        </is>
      </c>
      <c r="H11" s="3" t="inlineStr">
        <is>
          <t>3.13. Explicación de la respuesta inmunitaria innata: barreras, inflamación, fagocitos, defensinas y sistema del complemento.</t>
        </is>
      </c>
      <c r="I11" s="3" t="inlineStr">
        <is>
          <t>Describe en un esquema secuencial cómo un patógeno o su toxina altera un tejido y desencadena la inflamación, la fagocitosis y la acción del complemento.</t>
        </is>
      </c>
      <c r="J11" s="3" t="inlineStr">
        <is>
          <t>Inmunidad innata, Sistema inmunitario</t>
        </is>
      </c>
      <c r="K11" s="3" t="inlineStr">
        <is>
          <t>ACSBL119 y ACSBL121 (0 temas); AUSS unidad 4; prerrequisito: Sistema inmunitario (3.10, mismo grado)</t>
        </is>
      </c>
      <c r="L11" s="3" t="inlineStr">
        <is>
          <t>Hoy la inmunidad innata solo aparece dentro de un tema general (3.10). ACARA pide la inflamación y sus agentes. Va tras 3.10 y antes de las enfermedades (3.12). Se paga con la fusión 9.</t>
        </is>
      </c>
    </row>
    <row r="12">
      <c r="A12" s="2" t="n">
        <v>11</v>
      </c>
      <c r="B12" s="2" t="inlineStr">
        <is>
          <t>fusionar</t>
        </is>
      </c>
      <c r="C12" s="2" t="inlineStr">
        <is>
          <t>G11-BIO-U2-2.5, G11-BIO-U2-2.6</t>
        </is>
      </c>
      <c r="D12" s="2" t="n">
        <v>2</v>
      </c>
      <c r="E12" s="2" t="n">
        <v>11</v>
      </c>
      <c r="F12" s="2" t="n">
        <v>11</v>
      </c>
      <c r="G12" s="2" t="inlineStr">
        <is>
          <t>2. Biotecnología microbiana y los virus</t>
        </is>
      </c>
      <c r="H12" s="2" t="inlineStr">
        <is>
          <t>2.5. Elaboración de cultivos bacterianos en medios sólidos y estimación del número de colonias.</t>
        </is>
      </c>
      <c r="I12" s="2" t="inlineStr">
        <is>
          <t>Siembra un cultivo bacteriano en placa en condiciones seguras y estima el número de colonias con un método de conteo.</t>
        </is>
      </c>
      <c r="J12" s="2" t="inlineStr">
        <is>
          <t>Microorganismos, Biotecnología microbiana</t>
        </is>
      </c>
      <c r="K12" s="2" t="inlineStr">
        <is>
          <t>fusión: ambos temas trabajan Microorganismos; 2.5 FUERA del marco AUSS</t>
        </is>
      </c>
      <c r="L12" s="2" t="inlineStr">
        <is>
          <t>Sembrar y contar colonias es una misma práctica de laboratorio. La fusión libera un tema para la propagación de enfermedades (acción 12).</t>
        </is>
      </c>
    </row>
    <row r="13">
      <c r="A13" s="3" t="n">
        <v>12</v>
      </c>
      <c r="B13" s="3" t="inlineStr">
        <is>
          <t>nuevo</t>
        </is>
      </c>
      <c r="C13" s="3" t="inlineStr"/>
      <c r="D13" s="3" t="n">
        <v>0</v>
      </c>
      <c r="E13" s="3" t="n"/>
      <c r="F13" s="3" t="n">
        <v>11</v>
      </c>
      <c r="G13" s="3" t="inlineStr">
        <is>
          <t>2. Biotecnología microbiana y los virus (al cierre de la unidad, después de 2.14)</t>
        </is>
      </c>
      <c r="H13" s="3" t="inlineStr">
        <is>
          <t>2.16. Análisis de la transmisión y la propagación regional y global de las enfermedades infecciosas.</t>
        </is>
      </c>
      <c r="I13" s="3" t="inlineStr">
        <is>
          <t>Analiza datos de un brote (dengue, COVID-19 u otro) y explica cómo el modo de transmisión del patógeno, el desplazamiento de personas, vectores y mercancías y la inmunidad de la población influyen en su propagación.</t>
        </is>
      </c>
      <c r="J13" s="3" t="inlineStr">
        <is>
          <t>Transmisión de patógenos, Propagación de enfermedades y control de brotes, Enfermedades infecciosas y no infecciosas</t>
        </is>
      </c>
      <c r="K13" s="3" t="inlineStr">
        <is>
          <t>ACSBL124 (0 temas); ACSBL116 y ACSBL118 (1 tema, débiles); AUSS unidad 4 (≈ 11.°); prerrequisito: Tipos de patógenos y Virus (2.2, 2.13–2.14)</t>
        </is>
      </c>
      <c r="L13" s="3" t="inlineStr">
        <is>
          <t>La malla estudia microbios y virus como herramientas, no la epidemiología. Un tema con datos reales cubre tres objetivos débiles de ACARA. Va después de los virus. Se paga con la fusión 11.</t>
        </is>
      </c>
    </row>
    <row r="14">
      <c r="A14" s="2" t="n">
        <v>13</v>
      </c>
      <c r="B14" s="2" t="inlineStr">
        <is>
          <t>fusionar</t>
        </is>
      </c>
      <c r="C14" s="2" t="inlineStr">
        <is>
          <t>G11-BIO-U3-3.13, G11-BIO-U3-3.14</t>
        </is>
      </c>
      <c r="D14" s="2" t="n">
        <v>2</v>
      </c>
      <c r="E14" s="2" t="n">
        <v>11</v>
      </c>
      <c r="F14" s="2" t="n">
        <v>11</v>
      </c>
      <c r="G14" s="2" t="inlineStr">
        <is>
          <t>3. Biotecnología vegetal y agroindustria</t>
        </is>
      </c>
      <c r="H14" s="2" t="inlineStr">
        <is>
          <t>3.13. Preparación y ensayo de un cultivo in vitro de plantas con métodos caseros.</t>
        </is>
      </c>
      <c r="I14" s="2" t="inlineStr">
        <is>
          <t>Prepara un medio y condiciones de asepsia caseras y siembra un explante, registrando su evolución.</t>
        </is>
      </c>
      <c r="J14" s="2" t="inlineStr">
        <is>
          <t>Biotecnología vegetal y agroindustria</t>
        </is>
      </c>
      <c r="K14" s="2" t="inlineStr">
        <is>
          <t>fusión: ambos temas trabajan Biotecnología vegetal (cultivo in vitro; 3.15 también); ambos FUERA del marco AUSS</t>
        </is>
      </c>
      <c r="L14" s="2" t="inlineStr">
        <is>
          <t>El cultivo in vitro ocupa tres temas (3.13 a 3.15). Unir preparación y ensayo libera un tema para la PCR (acción 14).</t>
        </is>
      </c>
    </row>
    <row r="15">
      <c r="A15" s="3" t="n">
        <v>14</v>
      </c>
      <c r="B15" s="3" t="inlineStr">
        <is>
          <t>nuevo</t>
        </is>
      </c>
      <c r="C15" s="3" t="inlineStr"/>
      <c r="D15" s="3" t="n">
        <v>0</v>
      </c>
      <c r="E15" s="3" t="n"/>
      <c r="F15" s="3" t="n">
        <v>10</v>
      </c>
      <c r="G15" s="3" t="inlineStr">
        <is>
          <t>4. Genética moderna (antes de 4.7)</t>
        </is>
      </c>
      <c r="H15" s="3" t="inlineStr">
        <is>
          <t>4.8. Simulación de la PCR y de la electroforesis en gel para obtener perfiles de ADN.</t>
        </is>
      </c>
      <c r="I15" s="3" t="inlineStr">
        <is>
          <t>Simula con materiales o un laboratorio virtual la amplificación de un fragmento de ADN y su separación en gel e interpreta un perfil de ADN para identificar a una persona.</t>
        </is>
      </c>
      <c r="J15" s="3" t="inlineStr">
        <is>
          <t>PCR y electroforesis en gel, Secuenciación del ADN y perfiles genéticos</t>
        </is>
      </c>
      <c r="K15" s="3" t="inlineStr">
        <is>
          <t>corregir_secuencia: Secuenciación del ADN (10.°, G10-4.7) requiere PCR y electroforesis, sin tema en la malla (confianza alta); ACSBL086 y ACSBL087; prerrequisito: Replicación del ADN (7.°)</t>
        </is>
      </c>
      <c r="L15" s="3" t="inlineStr">
        <is>
          <t>El tema del genoma humano (4.7) supone técnicas que la malla nunca enseña. Este tema las introduce justo antes. Se paga con la fusión 13.</t>
        </is>
      </c>
    </row>
    <row r="16">
      <c r="A16" s="2" t="n">
        <v>15</v>
      </c>
      <c r="B16" s="2" t="inlineStr">
        <is>
          <t>mover</t>
        </is>
      </c>
      <c r="C16" s="2" t="inlineStr">
        <is>
          <t>G11-BIO-U4-4.15</t>
        </is>
      </c>
      <c r="D16" s="2" t="n">
        <v>1</v>
      </c>
      <c r="E16" s="2" t="n">
        <v>11</v>
      </c>
      <c r="F16" s="2" t="n">
        <v>10</v>
      </c>
      <c r="G16" s="2" t="inlineStr">
        <is>
          <t>4. Genética moderna (después de 4.7 y 4.8)</t>
        </is>
      </c>
      <c r="H16" s="2" t="inlineStr">
        <is>
          <t>4.9. Explicación de los mecanismos de transgénesis y edición genética y de sus aplicaciones.</t>
        </is>
      </c>
      <c r="I16" s="2" t="inlineStr">
        <is>
          <t>Explica con un esquema cómo se obtiene un organismo transgénico (enzimas de restricción, plásmido, transformación) y en qué difiere la edición con CRISPR, y valora un caso de aplicación.</t>
        </is>
      </c>
      <c r="J16" s="2" t="inlineStr">
        <is>
          <t>Ingeniería genética y ADN recombinante</t>
        </is>
      </c>
      <c r="K16" s="2" t="inlineStr">
        <is>
          <t>mover_antes: Ingeniería genética (CO 8, UY 6); bloqueo: Síntesis de proteínas, primer grado SV 10 (resuelto); ACSBL087; prerrequisito: PCR y electroforesis (acción 14)</t>
        </is>
      </c>
      <c r="L16" s="2" t="inlineStr">
        <is>
          <t>Colombia y Uruguay la enseñan en 8.° y 6.°. En 10.° completa un bloque de técnicas del ADN con la PCR y el genoma humano. Su bloqueo ya está en 10.°.</t>
        </is>
      </c>
    </row>
    <row r="17">
      <c r="A17" s="3" t="n">
        <v>16</v>
      </c>
      <c r="B17" s="3" t="inlineStr">
        <is>
          <t>fusionar</t>
        </is>
      </c>
      <c r="C17" s="3" t="inlineStr">
        <is>
          <t>G11-BIO-U1-1.2, G11-BIO-U1-1.3</t>
        </is>
      </c>
      <c r="D17" s="3" t="n">
        <v>2</v>
      </c>
      <c r="E17" s="3" t="n">
        <v>11</v>
      </c>
      <c r="F17" s="3" t="n">
        <v>11</v>
      </c>
      <c r="G17" s="3" t="inlineStr">
        <is>
          <t>1. Ecología y ambiente</t>
        </is>
      </c>
      <c r="H17" s="3" t="inlineStr">
        <is>
          <t>1.2. Representación de los ciclos biogeoquímicos y de los procesos biológicos que intervienen en ellos.</t>
        </is>
      </c>
      <c r="I17" s="3" t="inlineStr">
        <is>
          <t>Representa los ciclos del carbono, nitrógeno, fósforo y agua indicando qué procesos biológicos mueven cada elemento entre reservorios.</t>
        </is>
      </c>
      <c r="J17" s="3" t="inlineStr">
        <is>
          <t>Ciclos del carbono y del oxígeno, Ciclo del nitrógeno, Ciclos del fósforo y del azufre, Papel de los seres vivos en el ciclo del agua</t>
        </is>
      </c>
      <c r="K17" s="3" t="inlineStr">
        <is>
          <t>fusión: ambos temas trabajan los ciclos biogeoquímicos; ACSBL022 tiene 9 temas; la unidad 8 de 10.° (8.1–8.5) ya los modela</t>
        </is>
      </c>
      <c r="L17" s="3" t="inlineStr">
        <is>
          <t>Los ciclos biogeoquímicos se estudian a fondo en la unidad 8 de 10.°. En 11.° basta un tema de repaso integrado. La fusión paga la descripción de ecosistemas (acción 17).</t>
        </is>
      </c>
    </row>
    <row r="18">
      <c r="A18" s="2" t="n">
        <v>17</v>
      </c>
      <c r="B18" s="2" t="inlineStr">
        <is>
          <t>nuevo</t>
        </is>
      </c>
      <c r="C18" s="2" t="inlineStr"/>
      <c r="D18" s="2" t="n">
        <v>0</v>
      </c>
      <c r="E18" s="2" t="n"/>
      <c r="F18" s="2" t="n">
        <v>11</v>
      </c>
      <c r="G18" s="2" t="inlineStr">
        <is>
          <t>1. Ecología y ambiente (al inicio de la unidad)</t>
        </is>
      </c>
      <c r="H18" s="2" t="inlineStr">
        <is>
          <t>1.13. Descripción y clasificación de los ecosistemas de El Salvador por sus especies, sus interacciones y sus factores abióticos.</t>
        </is>
      </c>
      <c r="I18" s="2" t="inlineStr">
        <is>
          <t>Compara dos ecosistemas salvadoreños (por ejemplo, manglar y bosque nebuloso) con datos de clima, sustrato, especies e interacciones, y los clasifica.</t>
        </is>
      </c>
      <c r="J18" s="2" t="inlineStr">
        <is>
          <t>Factores bióticos y abióticos, Ecosistemas naturales, rurales y urbanos, Biodiversidad</t>
        </is>
      </c>
      <c r="K18" s="2" t="inlineStr">
        <is>
          <t>ACSBL019 (0 temas); ACSBL021 (1 tema, débil: G11-3.9); AUSS unidad 1</t>
        </is>
      </c>
      <c r="L18" s="2" t="inlineStr">
        <is>
          <t>La unidad de ecología empieza por productividad sin describir ecosistemas. ACARA abre con su diversidad y clasificación. Usa ejemplos locales. Se paga con la fusión 16.</t>
        </is>
      </c>
    </row>
    <row r="19">
      <c r="A19" s="3" t="n">
        <v>18</v>
      </c>
      <c r="B19" s="3" t="inlineStr">
        <is>
          <t>fusionar</t>
        </is>
      </c>
      <c r="C19" s="3" t="inlineStr">
        <is>
          <t>G11-BIO-U3-3.16, G11-BIO-U3-3.17</t>
        </is>
      </c>
      <c r="D19" s="3" t="n">
        <v>2</v>
      </c>
      <c r="E19" s="3" t="n">
        <v>11</v>
      </c>
      <c r="F19" s="3" t="n">
        <v>11</v>
      </c>
      <c r="G19" s="3" t="inlineStr">
        <is>
          <t>3. Biotecnología vegetal y agroindustria</t>
        </is>
      </c>
      <c r="H19" s="3" t="inlineStr">
        <is>
          <t>3.16. Indagación de la conservación del germoplasma y experimentación con métodos de almacenamiento de semillas.</t>
        </is>
      </c>
      <c r="I19" s="3" t="inlineStr">
        <is>
          <t>Explica por qué conservar germoplasma protege la diversidad genética y compara la viabilidad de semillas guardadas con dos métodos.</t>
        </is>
      </c>
      <c r="J19" s="3" t="inlineStr">
        <is>
          <t>Conservación de la biodiversidad, Diversidad genética de poblaciones</t>
        </is>
      </c>
      <c r="K19" s="3" t="inlineStr">
        <is>
          <t>fusión: ambos temas trabajan Conservación de la biodiversidad; 3.17 FUERA del marco AUSS</t>
        </is>
      </c>
      <c r="L19" s="3" t="inlineStr">
        <is>
          <t>El almacenamiento de semillas es la parte práctica de la conservación del germoplasma. Unirlos libera un tema para las especies clave (acción 19).</t>
        </is>
      </c>
    </row>
    <row r="20">
      <c r="A20" s="2" t="n">
        <v>19</v>
      </c>
      <c r="B20" s="2" t="inlineStr">
        <is>
          <t>nuevo</t>
        </is>
      </c>
      <c r="C20" s="2" t="inlineStr"/>
      <c r="D20" s="2" t="n">
        <v>0</v>
      </c>
      <c r="E20" s="2" t="n"/>
      <c r="F20" s="2" t="n">
        <v>11</v>
      </c>
      <c r="G20" s="2" t="inlineStr">
        <is>
          <t>7. Dinámica de poblaciones (después de 7.6)</t>
        </is>
      </c>
      <c r="H20" s="2" t="inlineStr">
        <is>
          <t>7.8. Análisis del papel de las especies clave y del nicho ecológico en la estructura de las comunidades.</t>
        </is>
      </c>
      <c r="I20" s="2" t="inlineStr">
        <is>
          <t>Predice con datos de un caso (nutria marina y erizos, o murciélagos polinizadores) cómo cambia una comunidad al desaparecer una especie clave y explica por qué el efecto supera su abundancia.</t>
        </is>
      </c>
      <c r="J20" s="2" t="inlineStr">
        <is>
          <t>Especies clave, Nicho ecológico y exclusión competitiva, Depredación</t>
        </is>
      </c>
      <c r="K20" s="2" t="inlineStr">
        <is>
          <t>ACSBL024 (0 temas); ACSBL023 (1 tema, débil: G11-5.9); prerrequisito: Redes tróficas y Nicho ecológico (4.°)</t>
        </is>
      </c>
      <c r="L20" s="2" t="inlineStr">
        <is>
          <t>Las especies clave no aparecen en ningún grado. Tras el modelo depredador-presa, el caso muestra efectos en cascada y refuerza el nicho. Se paga con la fusión 18.</t>
        </is>
      </c>
    </row>
    <row r="21">
      <c r="A21" s="3" t="n">
        <v>20</v>
      </c>
      <c r="B21" s="3" t="inlineStr">
        <is>
          <t>revisar</t>
        </is>
      </c>
      <c r="C21" s="3" t="inlineStr">
        <is>
          <t>G11-BIO-U6-6.6</t>
        </is>
      </c>
      <c r="D21" s="3" t="n">
        <v>1</v>
      </c>
      <c r="E21" s="3" t="n">
        <v>11</v>
      </c>
      <c r="F21" s="3" t="n">
        <v>11</v>
      </c>
      <c r="G21" s="3" t="inlineStr">
        <is>
          <t>6. Mecánica de fluidos en los seres vivos</t>
        </is>
      </c>
      <c r="H21" s="3" t="inlineStr">
        <is>
          <t>6.6. Análisis de las adaptaciones de los organismos acuáticos para la flotación y el equilibrio hídrico.</t>
        </is>
      </c>
      <c r="I21" s="3" t="inlineStr">
        <is>
          <t>Explica con el principio de Arquímedes la función de la vejiga natatoria y compara cómo peces de agua dulce y marinos (osmorreguladores u osmoconformadores) mantienen su equilibrio hídrico.</t>
        </is>
      </c>
      <c r="J21" s="3" t="inlineStr">
        <is>
          <t>Adaptaciones estructurales, Presión y flujo de fluidos en los seres vivos, Osmorregulación y equilibrio hídrico</t>
        </is>
      </c>
      <c r="K21" s="3" t="inlineStr">
        <is>
          <t>ACSBL115 (1 tema, débil); 6.6 hoy FUERA del marco AUSS (física dentro de Biología); prerrequisito: Homeostasis (10.°) y Difusión y ósmosis (acción 5)</t>
        </is>
      </c>
      <c r="L21" s="3" t="inlineStr">
        <is>
          <t>El tema es física sin objetivo de ACARA. Se reformula, sin gastar presupuesto, para sumar la osmorregulación en animales acuáticos, débil en el ciclo.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Grado</t>
        </is>
      </c>
      <c r="B1" s="1" t="inlineStr">
        <is>
          <t>Temas actuales</t>
        </is>
      </c>
      <c r="C1" s="1" t="inlineStr">
        <is>
          <t>Temas propuestos</t>
        </is>
      </c>
      <c r="D1" s="1" t="inlineStr">
        <is>
          <t>Diferencia</t>
        </is>
      </c>
      <c r="E1" s="1" t="inlineStr">
        <is>
          <t>Acciones que salen del grado</t>
        </is>
      </c>
      <c r="F1" s="1" t="inlineStr">
        <is>
          <t>Acciones que llegan al grado</t>
        </is>
      </c>
    </row>
    <row r="2">
      <c r="A2" s="4" t="n">
        <v>10</v>
      </c>
      <c r="B2" s="4" t="n">
        <v>70</v>
      </c>
      <c r="C2" s="4" t="n">
        <v>75</v>
      </c>
      <c r="D2" s="4">
        <f>C2-B2</f>
        <v/>
      </c>
      <c r="E2" s="4">
        <f>COUNTIFS(Acciones!E:E,A2,Acciones!B:B,"mover")</f>
        <v/>
      </c>
      <c r="F2" s="4">
        <f>COUNTIFS(Acciones!F:F,A2,Acciones!B:B,"mover")</f>
        <v/>
      </c>
    </row>
    <row r="3">
      <c r="A3" s="4" t="n">
        <v>11</v>
      </c>
      <c r="B3" s="4" t="n">
        <v>92</v>
      </c>
      <c r="C3" s="4" t="n">
        <v>87</v>
      </c>
      <c r="D3" s="4">
        <f>C3-B3</f>
        <v/>
      </c>
      <c r="E3" s="4">
        <f>COUNTIFS(Acciones!E:E,A3,Acciones!B:B,"mover")</f>
        <v/>
      </c>
      <c r="F3" s="4">
        <f>COUNTIFS(Acciones!F:F,A3,Acciones!B:B,"mover")</f>
        <v/>
      </c>
    </row>
    <row r="4">
      <c r="A4" s="5" t="inlineStr">
        <is>
          <t>Total</t>
        </is>
      </c>
      <c r="B4" s="5">
        <f>SUM(B2:B3)</f>
        <v/>
      </c>
      <c r="C4" s="5">
        <f>SUM(C2:C3)</f>
        <v/>
      </c>
      <c r="D4" s="5">
        <f>C4-B4</f>
        <v/>
      </c>
      <c r="E4" s="5">
        <f>SUM(E2:E3)</f>
        <v/>
      </c>
      <c r="F4" s="5">
        <f>SUM(F2:F3)</f>
        <v/>
      </c>
    </row>
    <row r="6">
      <c r="A6" t="inlineStr">
        <is>
          <t>Regla: el total del ciclo no cambia (Diferencia del total = 0). Fuente: gskg propuesta + revisión del especialista; estado: borrador, pendiente de revisión del equipo de Ciencias del MINED.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2026-10-05T20:37:08Z</dcterms:created>
  <dcterms:modified xsi:type="dcterms:W3CDTF">2026-10-05T20:37:08Z</dcterms:modified>
</cp:coreProperties>
</file>