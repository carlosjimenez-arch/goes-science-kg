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iones" sheetId="1" state="visible" r:id="rId1"/>
    <sheet name="Distribu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E4D3A"/>
      </patternFill>
    </fill>
    <fill>
      <patternFill patternType="solid">
        <fgColor rgb="00F2F2F2"/>
      </patternFill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9" customWidth="1" min="4" max="4"/>
    <col width="9" customWidth="1" min="5" max="5"/>
    <col width="10" customWidth="1" min="6" max="6"/>
    <col width="26" customWidth="1" min="7" max="7"/>
    <col width="48" customWidth="1" min="8" max="8"/>
    <col width="44" customWidth="1" min="9" max="9"/>
    <col width="32" customWidth="1" min="10" max="10"/>
    <col width="34" customWidth="1" min="11" max="11"/>
    <col width="48" customWidth="1" min="12" max="12"/>
  </cols>
  <sheetData>
    <row r="1">
      <c r="A1" s="1" t="inlineStr">
        <is>
          <t>N</t>
        </is>
      </c>
      <c r="B1" s="1" t="inlineStr">
        <is>
          <t>Acción</t>
        </is>
      </c>
      <c r="C1" s="1" t="inlineStr">
        <is>
          <t>Temas afectados</t>
        </is>
      </c>
      <c r="D1" s="1" t="inlineStr">
        <is>
          <t>N.° de temas</t>
        </is>
      </c>
      <c r="E1" s="1" t="inlineStr">
        <is>
          <t>Grado actual</t>
        </is>
      </c>
      <c r="F1" s="1" t="inlineStr">
        <is>
          <t>Grado propuesto</t>
        </is>
      </c>
      <c r="G1" s="1" t="inlineStr">
        <is>
          <t>Unidad propuesta</t>
        </is>
      </c>
      <c r="H1" s="1" t="inlineStr">
        <is>
          <t>Tema propuesto</t>
        </is>
      </c>
      <c r="I1" s="1" t="inlineStr">
        <is>
          <t>Indicador de logro</t>
        </is>
      </c>
      <c r="J1" s="1" t="inlineStr">
        <is>
          <t>Conceptos</t>
        </is>
      </c>
      <c r="K1" s="1" t="inlineStr">
        <is>
          <t>Evidencia</t>
        </is>
      </c>
      <c r="L1" s="1" t="inlineStr">
        <is>
          <t>Justificación</t>
        </is>
      </c>
    </row>
    <row r="2">
      <c r="A2" s="2" t="n">
        <v>1</v>
      </c>
      <c r="B2" s="2" t="inlineStr">
        <is>
          <t>nuevo</t>
        </is>
      </c>
      <c r="C2" s="2" t="inlineStr"/>
      <c r="D2" s="2" t="n">
        <v>0</v>
      </c>
      <c r="E2" s="2" t="n"/>
      <c r="F2" s="2" t="n">
        <v>5</v>
      </c>
      <c r="G2" s="2" t="inlineStr">
        <is>
          <t>3. Estructura atómica. (al inicio de la unidad, antes de 3.2)</t>
        </is>
      </c>
      <c r="H2" s="2" t="inlineStr">
        <is>
          <t>3.12. Representación de la materia con el modelo de partículas.</t>
        </is>
      </c>
      <c r="I2" s="2" t="inlineStr">
        <is>
          <t>Explica con dibujos de partículas qué ocurre al disolver azúcar, al comprimir aire o al calentar agua, y usa el modelo para justificar por qué la materia ocupa espacio y tiene masa.</t>
        </is>
      </c>
      <c r="J2" s="2" t="inlineStr">
        <is>
          <t>Modelo de partículas de la materia</t>
        </is>
      </c>
      <c r="K2" s="2" t="inlineStr">
        <is>
          <t>prerrequisito: Modelo de partículas de la materia (hoy en 6.°) de Átomo y partículas subatómicas (5.°), confianza alta; prerrequisito: Modelo de partículas de la materia (bloqueo de Sustancias puras: elementos y compuestos)</t>
        </is>
      </c>
      <c r="L2" s="2" t="inlineStr">
        <is>
          <t>El átomo y sus partículas (3.2 a 3.5) se enseñan en 5.° antes del modelo de partículas, que hoy llega en 6.° (4.8). Un tema introductorio al inicio de la unidad ordena la secuencia. Se paga con la fusión 10.</t>
        </is>
      </c>
    </row>
    <row r="3">
      <c r="A3" s="3" t="n">
        <v>2</v>
      </c>
      <c r="B3" s="3" t="inlineStr">
        <is>
          <t>revisar</t>
        </is>
      </c>
      <c r="C3" s="3" t="inlineStr">
        <is>
          <t>G05-CIE-U3-3.10</t>
        </is>
      </c>
      <c r="D3" s="3" t="n">
        <v>1</v>
      </c>
      <c r="E3" s="3" t="n">
        <v>5</v>
      </c>
      <c r="F3" s="3" t="n">
        <v>5</v>
      </c>
      <c r="G3" s="3" t="inlineStr">
        <is>
          <t>3. Estructura atómica.</t>
        </is>
      </c>
      <c r="H3" s="3" t="inlineStr">
        <is>
          <t>3.10. Representación de la distribución de los electrones en niveles de energía.</t>
        </is>
      </c>
      <c r="I3" s="3" t="inlineStr">
        <is>
          <t>Dibuja el modelo de capas de los primeros 20 elementos y relaciona el número de electrones del último nivel con el grupo de la tabla periódica.</t>
        </is>
      </c>
      <c r="J3" s="3" t="inlineStr">
        <is>
          <t>Configuración electrónica, Electrones de valencia y regla del octeto</t>
        </is>
      </c>
      <c r="K3" s="3" t="inlineStr">
        <is>
          <t>prerrequisito: Modelo mecanocuántico y orbitales atómicos (hoy en 10.°) de Números cuánticos (5.°), brecha 5, confianza alta</t>
        </is>
      </c>
      <c r="L3" s="3" t="inlineStr">
        <is>
          <t>Los números cuánticos exigen el modelo mecanocuántico, que llega en 10.°. Se reformula con el modelo de niveles, base suficiente para la tabla periódica y los enlaces; los números cuánticos quedan para Bachillerato.</t>
        </is>
      </c>
    </row>
    <row r="4">
      <c r="A4" s="2" t="n">
        <v>3</v>
      </c>
      <c r="B4" s="2" t="inlineStr">
        <is>
          <t>nuevo</t>
        </is>
      </c>
      <c r="C4" s="2" t="inlineStr"/>
      <c r="D4" s="2" t="n">
        <v>0</v>
      </c>
      <c r="E4" s="2" t="n"/>
      <c r="F4" s="2" t="n">
        <v>5</v>
      </c>
      <c r="G4" s="2" t="inlineStr">
        <is>
          <t>6. Ciencias de la Tierra. (unidad compartida con Ciencias de la Tierra y del Espacio)</t>
        </is>
      </c>
      <c r="H4" s="2" t="inlineStr">
        <is>
          <t>6.15. Identificación de los componentes del aire y de los principales contaminantes atmosféricos.</t>
        </is>
      </c>
      <c r="I4" s="2" t="inlineStr">
        <is>
          <t>Representa en un gráfico la proporción de nitrógeno, oxígeno, argón, dióxido de carbono y vapor de agua en el aire, y relaciona al menos tres contaminantes con fuentes de su comunidad.</t>
        </is>
      </c>
      <c r="J4" s="2" t="inlineStr">
        <is>
          <t>La atmósfera y su composición, Composición del aire y contaminantes atmosféricos</t>
        </is>
      </c>
      <c r="K4" s="2" t="inlineStr">
        <is>
          <t>CO 4.5, SG 5, UY 5 (Composición del aire y contaminantes atmosféricos)</t>
        </is>
      </c>
      <c r="L4" s="2" t="inlineStr">
        <is>
          <t>Colombia, Singapur y Uruguay lo enseñan entre 4.° y 5.°; El Salvador, en 7.° y sin un tema de química asociado. El tema abre con la composición de la atmósfera. Se paga con la fusión 11.</t>
        </is>
      </c>
    </row>
    <row r="5">
      <c r="A5" s="3" t="n">
        <v>4</v>
      </c>
      <c r="B5" s="3" t="inlineStr">
        <is>
          <t>mover</t>
        </is>
      </c>
      <c r="C5" s="3" t="inlineStr">
        <is>
          <t>G05-CIE-U4-4.5, G05-CIE-U4-4.6</t>
        </is>
      </c>
      <c r="D5" s="3" t="n">
        <v>2</v>
      </c>
      <c r="E5" s="3" t="n">
        <v>5</v>
      </c>
      <c r="F5" s="3" t="n">
        <v>6</v>
      </c>
      <c r="G5" s="3" t="inlineStr">
        <is>
          <t>4. Interacciones químicas. (4.12 después de 4.11; 4.13 después de 4.2)</t>
        </is>
      </c>
      <c r="H5" s="3" t="inlineStr">
        <is>
          <t>4.12. Reconocimiento de los principios que llevan a la formulación química. | 4.13. Interpretación de la interacción iónica para la deducción de fórmulas químicas.</t>
        </is>
      </c>
      <c r="I5" s="3" t="inlineStr">
        <is>
          <t>Distingue elemento y compuesto en una fórmula e interpreta qué indican los símbolos y subíndices. | Escribe la fórmula de compuestos iónicos sencillos (NaCl, CaO, MgCl2) a partir de las cargas de sus iones.</t>
        </is>
      </c>
      <c r="J5" s="3" t="inlineStr">
        <is>
          <t>Moléculas y fórmulas químicas, Compuestos inorgánicos: funciones y nomenclatura, Enlace iónico, Iones</t>
        </is>
      </c>
      <c r="K5" s="3" t="inlineStr">
        <is>
          <t>prerrequisito: Sustancias puras: elementos y compuestos (hoy en 10.°) de Moléculas y fórmulas químicas (5.°), brecha 5, confianza alta; prerrequisito: Enlace químico (hoy en 10.°) de Enlace iónico (5.°), brecha 5, confianza alta</t>
        </is>
      </c>
      <c r="L5" s="3" t="inlineStr">
        <is>
          <t>Las fórmulas y la interacción iónica se enseñan en 5.° antes de saber qué es un compuesto y qué es un enlace. Pasan a la unidad de enlaces de 6.°, después de las acciones 5 y 6 y del enlace iónico (4.2).</t>
        </is>
      </c>
    </row>
    <row r="6">
      <c r="A6" s="2" t="n">
        <v>5</v>
      </c>
      <c r="B6" s="2" t="inlineStr">
        <is>
          <t>nuevo</t>
        </is>
      </c>
      <c r="C6" s="2" t="inlineStr"/>
      <c r="D6" s="2" t="n">
        <v>0</v>
      </c>
      <c r="E6" s="2" t="n"/>
      <c r="F6" s="2" t="n">
        <v>6</v>
      </c>
      <c r="G6" s="2" t="inlineStr">
        <is>
          <t>4. Interacciones químicas. (al inicio de la unidad, antes de 4.1)</t>
        </is>
      </c>
      <c r="H6" s="2" t="inlineStr">
        <is>
          <t>4.11. Clasificación de la materia en sustancias puras (elementos y compuestos) y mezclas.</t>
        </is>
      </c>
      <c r="I6" s="2" t="inlineStr">
        <is>
          <t>Clasifica muestras cotidianas (agua destilada, sal, aire, cobre, agua con sal) en elementos, compuestos y mezclas y justifica la clasificación con dibujos de partículas.</t>
        </is>
      </c>
      <c r="J6" s="2" t="inlineStr">
        <is>
          <t>Sustancias puras: elementos y compuestos</t>
        </is>
      </c>
      <c r="K6" s="2" t="inlineStr">
        <is>
          <t>AU 6, CO 6, ENG 6, UY 5 (Sustancias puras: elementos y compuestos); prerrequisito: Modelo de partículas de la materia (5.° con la acción 1); mover_antes: destino 6.°; hoy en G10-QUI-U1-1.13</t>
        </is>
      </c>
      <c r="L6" s="2" t="inlineStr">
        <is>
          <t>Los cuatro países, incluidos Inglaterra y Australia, lo enseñan en 5.° o 6.°; El Salvador, en 10.°. Es prerrequisito de fórmulas y moléculas. Se paga con la fusión 12.</t>
        </is>
      </c>
    </row>
    <row r="7">
      <c r="A7" s="3" t="n">
        <v>6</v>
      </c>
      <c r="B7" s="3" t="inlineStr">
        <is>
          <t>revisar</t>
        </is>
      </c>
      <c r="C7" s="3" t="inlineStr">
        <is>
          <t>G06-CIE-U4-4.1</t>
        </is>
      </c>
      <c r="D7" s="3" t="n">
        <v>1</v>
      </c>
      <c r="E7" s="3" t="n">
        <v>6</v>
      </c>
      <c r="F7" s="3" t="n">
        <v>6</v>
      </c>
      <c r="G7" s="3" t="inlineStr">
        <is>
          <t>4. Interacciones químicas.</t>
        </is>
      </c>
      <c r="H7" s="3" t="inlineStr">
        <is>
          <t>4.1. Explicación de la formación del enlace químico y aplicación de la notación de Lewis.</t>
        </is>
      </c>
      <c r="I7" s="3" t="inlineStr">
        <is>
          <t>Explica que los átomos se unen compartiendo o transfiriendo electrones de valencia para alcanzar una configuración estable y lo representa con estructuras de Lewis.</t>
        </is>
      </c>
      <c r="J7" s="3" t="inlineStr">
        <is>
          <t>Enlace químico, Electrones de valencia y regla del octeto, Notación y estructuras de Lewis</t>
        </is>
      </c>
      <c r="K7" s="3" t="inlineStr">
        <is>
          <t>CO 6.5, UY 9 (Enlace químico); prerrequisito: Enlace químico (hoy en 10.°) de Enlace iónico, Enlace covalente y Enlace metálico (6.°), brecha 4, confianza alta</t>
        </is>
      </c>
      <c r="L7" s="3" t="inlineStr">
        <is>
          <t>Los tipos de enlace (4.2 a 4.4) llegan en 6.° sin la idea general de enlace, que hoy aparece en 10.°. Se introduce en el primer tema de la unidad, sin gastar presupuesto.</t>
        </is>
      </c>
    </row>
    <row r="8">
      <c r="A8" s="2" t="n">
        <v>7</v>
      </c>
      <c r="B8" s="2" t="inlineStr">
        <is>
          <t>nuevo</t>
        </is>
      </c>
      <c r="C8" s="2" t="inlineStr"/>
      <c r="D8" s="2" t="n">
        <v>0</v>
      </c>
      <c r="E8" s="2" t="n"/>
      <c r="F8" s="2" t="n">
        <v>6</v>
      </c>
      <c r="G8" s="2" t="inlineStr">
        <is>
          <t>4. Interacciones químicas. (después de 4.9)</t>
        </is>
      </c>
      <c r="H8" s="2" t="inlineStr">
        <is>
          <t>4.14. Comprobación experimental de la conservación de la masa en las reacciones químicas.</t>
        </is>
      </c>
      <c r="I8" s="2" t="inlineStr">
        <is>
          <t>Mide la masa antes y después de una reacción en sistema cerrado (vinagre y bicarbonato en botella con globo) y explica el resultado con el reordenamiento de átomos.</t>
        </is>
      </c>
      <c r="J8" s="2" t="inlineStr">
        <is>
          <t>Conservación de la masa, Reacción química y sus evidencias</t>
        </is>
      </c>
      <c r="K8" s="2" t="inlineStr">
        <is>
          <t>ENG 6, AU 8, CO 8, UY 9 (Conservación de la masa); prerrequisito: Conservación de la masa (hoy en 10.°) de Ecuación química y su balanceo (7.°), brecha 3, confianza alta</t>
        </is>
      </c>
      <c r="L8" s="2" t="inlineStr">
        <is>
          <t>En 7.° se balancean ecuaciones en cuatro temas sin la ley que da sentido al balanceo. Inglaterra la enseña en 6.°; el destino sugerido (8.°) llegaría tarde para el balanceo. Se paga con la fusión 13.</t>
        </is>
      </c>
    </row>
    <row r="9">
      <c r="A9" s="3" t="n">
        <v>8</v>
      </c>
      <c r="B9" s="3" t="inlineStr">
        <is>
          <t>nuevo</t>
        </is>
      </c>
      <c r="C9" s="3" t="inlineStr"/>
      <c r="D9" s="3" t="n">
        <v>0</v>
      </c>
      <c r="E9" s="3" t="n"/>
      <c r="F9" s="3" t="n">
        <v>6</v>
      </c>
      <c r="G9" s="3" t="inlineStr">
        <is>
          <t>4. Interacciones químicas. (después de 4.14; la unidad 2 de 6.°, Calor y temperatura, va antes)</t>
        </is>
      </c>
      <c r="H9" s="3" t="inlineStr">
        <is>
          <t>4.15. Clasificación experimental de reacciones exotérmicas y endotérmicas según el cambio de temperatura.</t>
        </is>
      </c>
      <c r="I9" s="3" t="inlineStr">
        <is>
          <t>Mide la temperatura antes y después de dos reacciones (vinagre y bicarbonato; agua y cloruro de calcio) y clasifica cada una como exotérmica o endotérmica, explicando hacia dónde se transfiere el calor.</t>
        </is>
      </c>
      <c r="J9" s="3" t="inlineStr">
        <is>
          <t>Reacciones exotérmicas y endotérmicas, Calor como energía en tránsito, Clasificación de las reacciones químicas</t>
        </is>
      </c>
      <c r="K9" s="3" t="inlineStr">
        <is>
          <t>ENG 6, AU 7 (Reacciones exotérmicas y endotérmicas); bloqueo: Calor como energía en tránsito (hoy en 10.°; se retoma de forma explícita en el mismo tema)</t>
        </is>
      </c>
      <c r="L9" s="3" t="inlineStr">
        <is>
          <t>Inglaterra y Australia lo enseñan en 6.° y 7.°; El Salvador, en 10.°. Completa la clasificación de reacciones (4.10) con el criterio energético. Se paga con la fusión 14.</t>
        </is>
      </c>
    </row>
    <row r="10">
      <c r="A10" s="2" t="n">
        <v>9</v>
      </c>
      <c r="B10" s="2" t="inlineStr">
        <is>
          <t>nuevo</t>
        </is>
      </c>
      <c r="C10" s="2" t="inlineStr"/>
      <c r="D10" s="2" t="n">
        <v>0</v>
      </c>
      <c r="E10" s="2" t="n"/>
      <c r="F10" s="2" t="n">
        <v>8</v>
      </c>
      <c r="G10" s="2" t="inlineStr">
        <is>
          <t>4. Estequiometría y dispersiones. (después de 4.7)</t>
        </is>
      </c>
      <c r="H10" s="2" t="inlineStr">
        <is>
          <t>4.21. Análisis de la combustión como reacción química: reactivos, productos y energía liberada.</t>
        </is>
      </c>
      <c r="I10" s="2" t="inlineStr">
        <is>
          <t>Escribe y balancea la ecuación de combustión del metano o del etanol, calcula la masa de CO2 producida y relaciona la combustión incompleta con el monóxido de carbono.</t>
        </is>
      </c>
      <c r="J10" s="2" t="inlineStr">
        <is>
          <t>Combustión, Estequiometría, Reacciones exotérmicas y endotérmicas</t>
        </is>
      </c>
      <c r="K10" s="2" t="inlineStr">
        <is>
          <t>AU 8, CO 8.5, ENG 6 (Combustión); prerrequisito: Reacciones exotérmicas y endotérmicas (6.°, acción 8)</t>
        </is>
      </c>
      <c r="L10" s="2" t="inlineStr">
        <is>
          <t>Los tres países enseñan la combustión entre 6.° y 8.5; El Salvador, en 11.°. En 8.° une estequiometría, energía y los contaminantes del aire vistos en 5.°. Se paga con la fusión 15.</t>
        </is>
      </c>
    </row>
    <row r="11">
      <c r="A11" s="3" t="n">
        <v>10</v>
      </c>
      <c r="B11" s="3" t="inlineStr">
        <is>
          <t>fusionar</t>
        </is>
      </c>
      <c r="C11" s="3" t="inlineStr">
        <is>
          <t>G08-CIE-U4-4.18, G08-CIE-U4-4.19</t>
        </is>
      </c>
      <c r="D11" s="3" t="n">
        <v>2</v>
      </c>
      <c r="E11" s="3" t="n">
        <v>8</v>
      </c>
      <c r="F11" s="3" t="n">
        <v>8</v>
      </c>
      <c r="G11" s="3" t="inlineStr">
        <is>
          <t>4. Estequiometría y dispersiones</t>
        </is>
      </c>
      <c r="H11" s="3" t="inlineStr">
        <is>
          <t>4.18. Demostración experimental de las propiedades coligativas.</t>
        </is>
      </c>
      <c r="I11" s="3" t="inlineStr">
        <is>
          <t>Comprueba con un experimento el descenso del punto de congelación o el aumento del punto de ebullición al agregar soluto y lo explica con el número de partículas disueltas.</t>
        </is>
      </c>
      <c r="J11" s="3" t="inlineStr">
        <is>
          <t>Propiedades coligativas</t>
        </is>
      </c>
      <c r="K11" s="3" t="inlineStr">
        <is>
          <t>fusión: ambos temas trabajan Propiedades coligativas (4.20 también)</t>
        </is>
      </c>
      <c r="L11" s="3" t="inlineStr">
        <is>
          <t>Demostración y experimentación de las propiedades coligativas son el mismo contenido en dos temas, con un tercero (4.20) de aplicaciones. La fusión paga la acción 1.</t>
        </is>
      </c>
    </row>
    <row r="12">
      <c r="A12" s="2" t="n">
        <v>11</v>
      </c>
      <c r="B12" s="2" t="inlineStr">
        <is>
          <t>fusionar</t>
        </is>
      </c>
      <c r="C12" s="2" t="inlineStr">
        <is>
          <t>G08-CIE-U4-4.4, G08-CIE-U4-4.5</t>
        </is>
      </c>
      <c r="D12" s="2" t="n">
        <v>2</v>
      </c>
      <c r="E12" s="2" t="n">
        <v>8</v>
      </c>
      <c r="F12" s="2" t="n">
        <v>8</v>
      </c>
      <c r="G12" s="2" t="inlineStr">
        <is>
          <t>4. Estequiometría y dispersiones</t>
        </is>
      </c>
      <c r="H12" s="2" t="inlineStr">
        <is>
          <t>4.4. Interpretación del número de Avogadro y cálculo de partículas y moles de una sustancia.</t>
        </is>
      </c>
      <c r="I12" s="2" t="inlineStr">
        <is>
          <t>Explica el mol como una cantidad fija de partículas y convierte entre moles y número de partículas en problemas sencillos.</t>
        </is>
      </c>
      <c r="J12" s="2" t="inlineStr">
        <is>
          <t>Mol y número de Avogadro</t>
        </is>
      </c>
      <c r="K12" s="2" t="inlineStr">
        <is>
          <t>fusión: ambos temas trabajan Mol y número de Avogadro (4.10 también)</t>
        </is>
      </c>
      <c r="L12" s="2" t="inlineStr">
        <is>
          <t>El significado del número de Avogadro y su uso en cálculos se enseñan mejor juntos. La fusión paga la acción 3.</t>
        </is>
      </c>
    </row>
    <row r="13">
      <c r="A13" s="3" t="n">
        <v>12</v>
      </c>
      <c r="B13" s="3" t="inlineStr">
        <is>
          <t>fusionar</t>
        </is>
      </c>
      <c r="C13" s="3" t="inlineStr">
        <is>
          <t>G08-CIE-U4-4.12, G08-CIE-U4-4.14</t>
        </is>
      </c>
      <c r="D13" s="3" t="n">
        <v>2</v>
      </c>
      <c r="E13" s="3" t="n">
        <v>8</v>
      </c>
      <c r="F13" s="3" t="n">
        <v>8</v>
      </c>
      <c r="G13" s="3" t="inlineStr">
        <is>
          <t>4. Estequiometría y dispersiones</t>
        </is>
      </c>
      <c r="H13" s="3" t="inlineStr">
        <is>
          <t>4.12. Identificación de los tipos de dispersiones químicas en sustancias de uso cotidiano y de sus aplicaciones.</t>
        </is>
      </c>
      <c r="I13" s="3" t="inlineStr">
        <is>
          <t>Identifica disoluciones, coloides y suspensiones en productos del hogar y describe un uso de cada tipo.</t>
        </is>
      </c>
      <c r="J13" s="3" t="inlineStr">
        <is>
          <t>Disoluciones, coloides y suspensiones</t>
        </is>
      </c>
      <c r="K13" s="3" t="inlineStr">
        <is>
          <t>fusión: ambos temas trabajan Disoluciones, coloides y suspensiones (4.13 también)</t>
        </is>
      </c>
      <c r="L13" s="3" t="inlineStr">
        <is>
          <t>La unidad dedica tres temas a las dispersiones. Identificación y exploración de aplicaciones se unen; la clasificación (4.13) se mantiene. La fusión paga la acción 5.</t>
        </is>
      </c>
    </row>
    <row r="14">
      <c r="A14" s="2" t="n">
        <v>13</v>
      </c>
      <c r="B14" s="2" t="inlineStr">
        <is>
          <t>fusionar</t>
        </is>
      </c>
      <c r="C14" s="2" t="inlineStr">
        <is>
          <t>G08-CIE-U4-4.1, G08-CIE-U4-4.3</t>
        </is>
      </c>
      <c r="D14" s="2" t="n">
        <v>2</v>
      </c>
      <c r="E14" s="2" t="n">
        <v>8</v>
      </c>
      <c r="F14" s="2" t="n">
        <v>8</v>
      </c>
      <c r="G14" s="2" t="inlineStr">
        <is>
          <t>4. Estequiometría y dispersiones</t>
        </is>
      </c>
      <c r="H14" s="2" t="inlineStr">
        <is>
          <t>4.1. Identificación de las unidades físicas de concentración y de sus aplicaciones cotidianas, industriales y ambientales.</t>
        </is>
      </c>
      <c r="I14" s="2" t="inlineStr">
        <is>
          <t>Interpreta la concentración en etiquetas de productos (% m/m, % m/v, ppm) y explica su importancia en un caso ambiental o industrial.</t>
        </is>
      </c>
      <c r="J14" s="2" t="inlineStr">
        <is>
          <t>Soluto, disolvente y concentración</t>
        </is>
      </c>
      <c r="K14" s="2" t="inlineStr">
        <is>
          <t>fusión: ambos temas trabajan Soluto, disolvente y concentración (4.2 y 4.15 también)</t>
        </is>
      </c>
      <c r="L14" s="2" t="inlineStr">
        <is>
          <t>Identificar las unidades físicas de concentración y explorar sus aplicaciones son el mismo contenido; el cálculo (4.2) se mantiene aparte. La fusión paga la acción 7.</t>
        </is>
      </c>
    </row>
    <row r="15">
      <c r="A15" s="3" t="n">
        <v>14</v>
      </c>
      <c r="B15" s="3" t="inlineStr">
        <is>
          <t>fusionar</t>
        </is>
      </c>
      <c r="C15" s="3" t="inlineStr">
        <is>
          <t>G08-CIE-U4-4.7, G08-CIE-U4-4.8</t>
        </is>
      </c>
      <c r="D15" s="3" t="n">
        <v>2</v>
      </c>
      <c r="E15" s="3" t="n">
        <v>8</v>
      </c>
      <c r="F15" s="3" t="n">
        <v>8</v>
      </c>
      <c r="G15" s="3" t="inlineStr">
        <is>
          <t>4. Estequiometría y dispersiones</t>
        </is>
      </c>
      <c r="H15" s="3" t="inlineStr">
        <is>
          <t>4.7. Ejecución e interpretación de cálculos estequiométricos para determinar cantidades de sustancia en gramos.</t>
        </is>
      </c>
      <c r="I15" s="3" t="inlineStr">
        <is>
          <t>Calcula la masa de producto o reactivo en una reacción balanceada y juzga si el resultado es razonable.</t>
        </is>
      </c>
      <c r="J15" s="3" t="inlineStr">
        <is>
          <t>Estequiometría</t>
        </is>
      </c>
      <c r="K15" s="3" t="inlineStr">
        <is>
          <t>fusión: ambos temas trabajan Estequiometría</t>
        </is>
      </c>
      <c r="L15" s="3" t="inlineStr">
        <is>
          <t>Calcular e interpretar el resultado son pasos del mismo procedimiento. La fusión paga la acción 8.</t>
        </is>
      </c>
    </row>
    <row r="16">
      <c r="A16" s="2" t="n">
        <v>15</v>
      </c>
      <c r="B16" s="2" t="inlineStr">
        <is>
          <t>fusionar</t>
        </is>
      </c>
      <c r="C16" s="2" t="inlineStr">
        <is>
          <t>G08-CIE-U5-5.5, G08-CIE-U5-5.6</t>
        </is>
      </c>
      <c r="D16" s="2" t="n">
        <v>2</v>
      </c>
      <c r="E16" s="2" t="n">
        <v>8</v>
      </c>
      <c r="F16" s="2" t="n">
        <v>8</v>
      </c>
      <c r="G16" s="2" t="inlineStr">
        <is>
          <t>5. Minerales</t>
        </is>
      </c>
      <c r="H16" s="2" t="inlineStr">
        <is>
          <t>5.5. Determinación del hábito cristalino de un mineral preparado experimentalmente y reconocimiento de las estructuras cristalinas.</t>
        </is>
      </c>
      <c r="I16" s="2" t="inlineStr">
        <is>
          <t>Compara el cristal que obtuvo con imágenes de minerales y describe su forma geométrica y la estructura cristalina que la explica.</t>
        </is>
      </c>
      <c r="J16" s="2" t="inlineStr">
        <is>
          <t>Minerales: composición y estructura cristalina, Sólidos cristalinos y amorfos</t>
        </is>
      </c>
      <c r="K16" s="2" t="inlineStr">
        <is>
          <t>fusión: ambos temas trabajan Minerales: composición y estructura cristalina y Sólidos cristalinos y amorfos (5.4 también)</t>
        </is>
      </c>
      <c r="L16" s="2" t="inlineStr">
        <is>
          <t>Los temas 5.4 a 5.6 trabajan los mismos dos conceptos. Unir hábito y estructura cristalina libera un tema para la combustión (acción 9).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7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Grado</t>
        </is>
      </c>
      <c r="B1" s="1" t="inlineStr">
        <is>
          <t>Temas actuales</t>
        </is>
      </c>
      <c r="C1" s="1" t="inlineStr">
        <is>
          <t>Temas propuestos</t>
        </is>
      </c>
      <c r="D1" s="1" t="inlineStr">
        <is>
          <t>Diferencia</t>
        </is>
      </c>
      <c r="E1" s="1" t="inlineStr">
        <is>
          <t>Acciones que salen del grado</t>
        </is>
      </c>
      <c r="F1" s="1" t="inlineStr">
        <is>
          <t>Acciones que llegan al grado</t>
        </is>
      </c>
    </row>
    <row r="2">
      <c r="A2" s="4" t="n">
        <v>5</v>
      </c>
      <c r="B2" s="4" t="n">
        <v>18</v>
      </c>
      <c r="C2" s="4" t="n">
        <v>18</v>
      </c>
      <c r="D2" s="4">
        <f>C2-B2</f>
        <v/>
      </c>
      <c r="E2" s="4">
        <f>COUNTIFS(Acciones!E:E,A2,Acciones!B:B,"mover")</f>
        <v/>
      </c>
      <c r="F2" s="4">
        <f>COUNTIFS(Acciones!F:F,A2,Acciones!B:B,"mover")</f>
        <v/>
      </c>
    </row>
    <row r="3">
      <c r="A3" s="4" t="n">
        <v>6</v>
      </c>
      <c r="B3" s="4" t="n">
        <v>10</v>
      </c>
      <c r="C3" s="4" t="n">
        <v>15</v>
      </c>
      <c r="D3" s="4">
        <f>C3-B3</f>
        <v/>
      </c>
      <c r="E3" s="4">
        <f>COUNTIFS(Acciones!E:E,A3,Acciones!B:B,"mover")</f>
        <v/>
      </c>
      <c r="F3" s="4">
        <f>COUNTIFS(Acciones!F:F,A3,Acciones!B:B,"mover")</f>
        <v/>
      </c>
    </row>
    <row r="4">
      <c r="A4" s="4" t="n">
        <v>7</v>
      </c>
      <c r="B4" s="4" t="n">
        <v>13</v>
      </c>
      <c r="C4" s="4" t="n">
        <v>13</v>
      </c>
      <c r="D4" s="4">
        <f>C4-B4</f>
        <v/>
      </c>
      <c r="E4" s="4">
        <f>COUNTIFS(Acciones!E:E,A4,Acciones!B:B,"mover")</f>
        <v/>
      </c>
      <c r="F4" s="4">
        <f>COUNTIFS(Acciones!F:F,A4,Acciones!B:B,"mover")</f>
        <v/>
      </c>
    </row>
    <row r="5">
      <c r="A5" s="4" t="n">
        <v>8</v>
      </c>
      <c r="B5" s="4" t="n">
        <v>25</v>
      </c>
      <c r="C5" s="4" t="n">
        <v>20</v>
      </c>
      <c r="D5" s="4">
        <f>C5-B5</f>
        <v/>
      </c>
      <c r="E5" s="4">
        <f>COUNTIFS(Acciones!E:E,A5,Acciones!B:B,"mover")</f>
        <v/>
      </c>
      <c r="F5" s="4">
        <f>COUNTIFS(Acciones!F:F,A5,Acciones!B:B,"mover")</f>
        <v/>
      </c>
    </row>
    <row r="6">
      <c r="A6" s="5" t="inlineStr">
        <is>
          <t>Total</t>
        </is>
      </c>
      <c r="B6" s="5">
        <f>SUM(B2:B5)</f>
        <v/>
      </c>
      <c r="C6" s="5">
        <f>SUM(C2:C5)</f>
        <v/>
      </c>
      <c r="D6" s="5">
        <f>C6-B6</f>
        <v/>
      </c>
      <c r="E6" s="5">
        <f>SUM(E2:E5)</f>
        <v/>
      </c>
      <c r="F6" s="5">
        <f>SUM(F2:F5)</f>
        <v/>
      </c>
    </row>
    <row r="8">
      <c r="A8" t="inlineStr">
        <is>
          <t>Regla: el total del ciclo no cambia (Diferencia del total = 0). Fuente: gskg propuesta + revisión del especialista; estado: borrador, pendiente de revisión del equipo de Ciencias del MINED.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2026-10-05T20:37:09Z</dcterms:created>
  <dcterms:modified xsi:type="dcterms:W3CDTF">2026-10-05T20:37:09Z</dcterms:modified>
</cp:coreProperties>
</file>