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Distrib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2F2F2"/>
      </patternFill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9" customWidth="1" min="4" max="4"/>
    <col width="9" customWidth="1" min="5" max="5"/>
    <col width="10" customWidth="1" min="6" max="6"/>
    <col width="26" customWidth="1" min="7" max="7"/>
    <col width="48" customWidth="1" min="8" max="8"/>
    <col width="44" customWidth="1" min="9" max="9"/>
    <col width="32" customWidth="1" min="10" max="10"/>
    <col width="34" customWidth="1" min="11" max="11"/>
    <col width="48" customWidth="1" min="12" max="12"/>
  </cols>
  <sheetData>
    <row r="1">
      <c r="A1" s="1" t="inlineStr">
        <is>
          <t>N</t>
        </is>
      </c>
      <c r="B1" s="1" t="inlineStr">
        <is>
          <t>Acción</t>
        </is>
      </c>
      <c r="C1" s="1" t="inlineStr">
        <is>
          <t>Temas afectados</t>
        </is>
      </c>
      <c r="D1" s="1" t="inlineStr">
        <is>
          <t>N.° de temas</t>
        </is>
      </c>
      <c r="E1" s="1" t="inlineStr">
        <is>
          <t>Grado actual</t>
        </is>
      </c>
      <c r="F1" s="1" t="inlineStr">
        <is>
          <t>Grado propuesto</t>
        </is>
      </c>
      <c r="G1" s="1" t="inlineStr">
        <is>
          <t>Unidad propuesta</t>
        </is>
      </c>
      <c r="H1" s="1" t="inlineStr">
        <is>
          <t>Tema propuesto</t>
        </is>
      </c>
      <c r="I1" s="1" t="inlineStr">
        <is>
          <t>Indicador de logro</t>
        </is>
      </c>
      <c r="J1" s="1" t="inlineStr">
        <is>
          <t>Conceptos</t>
        </is>
      </c>
      <c r="K1" s="1" t="inlineStr">
        <is>
          <t>Evidencia</t>
        </is>
      </c>
      <c r="L1" s="1" t="inlineStr">
        <is>
          <t>Justificación</t>
        </is>
      </c>
    </row>
    <row r="2">
      <c r="A2" s="2" t="n">
        <v>1</v>
      </c>
      <c r="B2" s="2" t="inlineStr">
        <is>
          <t>mover</t>
        </is>
      </c>
      <c r="C2" s="2" t="inlineStr">
        <is>
          <t>G03-CIE-U2-2.1</t>
        </is>
      </c>
      <c r="D2" s="2" t="n">
        <v>1</v>
      </c>
      <c r="E2" s="2" t="n">
        <v>3</v>
      </c>
      <c r="F2" s="2" t="n">
        <v>2</v>
      </c>
      <c r="G2" s="2" t="inlineStr">
        <is>
          <t>1. Materia. (después de 1.8 y antes de 1.6 y 1.7)</t>
        </is>
      </c>
      <c r="H2" s="2" t="inlineStr">
        <is>
          <t>1.6. Identificación de cambios físicos y químicos en materiales del entorno.</t>
        </is>
      </c>
      <c r="I2" s="2" t="inlineStr">
        <is>
          <t>Clasifica cambios cotidianos (hielo que se derrite, papel que se quema, clavo que se oxida) en los que se forma o no un material nuevo, y explica su criterio.</t>
        </is>
      </c>
      <c r="J2" s="2" t="inlineStr">
        <is>
          <t>Cambios físicos y químicos</t>
        </is>
      </c>
      <c r="K2" s="2" t="inlineStr">
        <is>
          <t>corregir_secuencia: Reacción química y sus evidencias (2.°, G02-1.7) necesita Cambios físicos y químicos (3.°), brecha 1; prerrequisitos disponibles en 2.°: Cambios de estado (G02-1.8) y Propiedades físicas y químicas (G02-1.6); marco: T4_27-P1.3</t>
        </is>
      </c>
      <c r="L2" s="2" t="inlineStr">
        <is>
          <t>En 2.° se experimenta con propiedades químicas antes de distinguir un cambio físico de uno químico. Se sube la identificación a 2.°, después de los cambios de estado; 3.° conserva la experimentación (2.2).</t>
        </is>
      </c>
    </row>
    <row r="3">
      <c r="A3" s="3" t="n">
        <v>2</v>
      </c>
      <c r="B3" s="3" t="inlineStr">
        <is>
          <t>revisar</t>
        </is>
      </c>
      <c r="C3" s="3" t="inlineStr">
        <is>
          <t>G02-CIE-U1-1.10</t>
        </is>
      </c>
      <c r="D3" s="3" t="n">
        <v>1</v>
      </c>
      <c r="E3" s="3" t="n">
        <v>2</v>
      </c>
      <c r="F3" s="3" t="n">
        <v>2</v>
      </c>
      <c r="G3" s="3" t="inlineStr">
        <is>
          <t>1. Materia.</t>
        </is>
      </c>
      <c r="H3" s="3" t="inlineStr">
        <is>
          <t>1.10. Predicción y comprobación de objetos que flotan o se hunden en el agua según el material del que están hechos.</t>
        </is>
      </c>
      <c r="I3" s="3" t="inlineStr">
        <is>
          <t>Predice si un objeto flota o se hunde, lo comprueba y agrupa los objetos según su material, sin calcular densidades.</t>
        </is>
      </c>
      <c r="J3" s="3" t="inlineStr">
        <is>
          <t>Propiedades físicas de los materiales</t>
        </is>
      </c>
      <c r="K3" s="3" t="inlineStr">
        <is>
          <t>Física 2.°–4.°, decisión abierta 5: Masa y peso → Densidad (alta); el peso llega en 3.°; marco: T4_27-P1.2 (propiedades observables de los materiales)</t>
        </is>
      </c>
      <c r="L3" s="3" t="inlineStr">
        <is>
          <t>En 2.° flotar o hundirse es una propiedad observable del material, no la relación masa-volumen. La densidad cuantitativa queda para 6.° (Física G06-1.1), después de masa y peso.</t>
        </is>
      </c>
    </row>
    <row r="4">
      <c r="A4" s="2" t="n">
        <v>3</v>
      </c>
      <c r="B4" s="2" t="inlineStr">
        <is>
          <t>revisar</t>
        </is>
      </c>
      <c r="C4" s="2" t="inlineStr">
        <is>
          <t>G03-CIE-U3-3.7</t>
        </is>
      </c>
      <c r="D4" s="2" t="n">
        <v>1</v>
      </c>
      <c r="E4" s="2" t="n">
        <v>3</v>
      </c>
      <c r="F4" s="2" t="n">
        <v>3</v>
      </c>
      <c r="G4" s="2" t="inlineStr">
        <is>
          <t>3. El agua.</t>
        </is>
      </c>
      <c r="H4" s="2" t="inlineStr">
        <is>
          <t>3.7. Experimentación con las propiedades físicas del agua: estados, forma, color, olor y capacidad de disolver.</t>
        </is>
      </c>
      <c r="I4" s="2" t="inlineStr">
        <is>
          <t>Describe con sus registros cómo el agua cambia de estado, toma la forma del recipiente y disuelve algunas sustancias y otras no.</t>
        </is>
      </c>
      <c r="J4" s="2" t="inlineStr">
        <is>
          <t>Propiedades físicas de los materiales, Estados de la materia</t>
        </is>
      </c>
      <c r="K4" s="2" t="inlineStr">
        <is>
          <t>corregir_secuencia: Propiedades singulares del agua (3.°) necesita Fuerzas intermoleculares (6.°), brecha 3; marco: T4_27-P1.2</t>
        </is>
      </c>
      <c r="L4" s="2" t="inlineStr">
        <is>
          <t>El tema de 3.° es de observación; explicar las propiedades singulares del agua exige puentes de hidrógeno (6.° y Bachillerato). Se queda en lo observable.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Grado</t>
        </is>
      </c>
      <c r="B1" s="1" t="inlineStr">
        <is>
          <t>Temas actuales</t>
        </is>
      </c>
      <c r="C1" s="1" t="inlineStr">
        <is>
          <t>Temas propuestos</t>
        </is>
      </c>
      <c r="D1" s="1" t="inlineStr">
        <is>
          <t>Diferencia</t>
        </is>
      </c>
      <c r="E1" s="1" t="inlineStr">
        <is>
          <t>Acciones que salen del grado</t>
        </is>
      </c>
      <c r="F1" s="1" t="inlineStr">
        <is>
          <t>Acciones que llegan al grado</t>
        </is>
      </c>
    </row>
    <row r="2">
      <c r="A2" s="4" t="n">
        <v>2</v>
      </c>
      <c r="B2" s="4" t="n">
        <v>9</v>
      </c>
      <c r="C2" s="4" t="n">
        <v>10</v>
      </c>
      <c r="D2" s="4">
        <f>C2-B2</f>
        <v/>
      </c>
      <c r="E2" s="4">
        <f>COUNTIFS(Acciones!E:E,A2,Acciones!B:B,"mover")</f>
        <v/>
      </c>
      <c r="F2" s="4">
        <f>COUNTIFS(Acciones!F:F,A2,Acciones!B:B,"mover")</f>
        <v/>
      </c>
    </row>
    <row r="3">
      <c r="A3" s="4" t="n">
        <v>3</v>
      </c>
      <c r="B3" s="4" t="n">
        <v>12</v>
      </c>
      <c r="C3" s="4" t="n">
        <v>11</v>
      </c>
      <c r="D3" s="4">
        <f>C3-B3</f>
        <v/>
      </c>
      <c r="E3" s="4">
        <f>COUNTIFS(Acciones!E:E,A3,Acciones!B:B,"mover")</f>
        <v/>
      </c>
      <c r="F3" s="4">
        <f>COUNTIFS(Acciones!F:F,A3,Acciones!B:B,"mover")</f>
        <v/>
      </c>
    </row>
    <row r="4">
      <c r="A4" s="4" t="n">
        <v>4</v>
      </c>
      <c r="B4" s="4" t="n">
        <v>0</v>
      </c>
      <c r="C4" s="4" t="n">
        <v>0</v>
      </c>
      <c r="D4" s="4">
        <f>C4-B4</f>
        <v/>
      </c>
      <c r="E4" s="4">
        <f>COUNTIFS(Acciones!E:E,A4,Acciones!B:B,"mover")</f>
        <v/>
      </c>
      <c r="F4" s="4">
        <f>COUNTIFS(Acciones!F:F,A4,Acciones!B:B,"mover")</f>
        <v/>
      </c>
    </row>
    <row r="5">
      <c r="A5" s="5" t="inlineStr">
        <is>
          <t>Total</t>
        </is>
      </c>
      <c r="B5" s="5">
        <f>SUM(B2:B4)</f>
        <v/>
      </c>
      <c r="C5" s="5">
        <f>SUM(C2:C4)</f>
        <v/>
      </c>
      <c r="D5" s="5">
        <f>C5-B5</f>
        <v/>
      </c>
      <c r="E5" s="5">
        <f>SUM(E2:E4)</f>
        <v/>
      </c>
      <c r="F5" s="5">
        <f>SUM(F2:F4)</f>
        <v/>
      </c>
    </row>
    <row r="7">
      <c r="A7" t="inlineStr">
        <is>
          <t>Regla: el total del ciclo no cambia (Diferencia del total = 0). Fuente: gskg propuesta + revisión del especialista; estado: borrador, pendiente de revisión del equipo de Ciencias del 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2026-10-05T22:22:03Z</dcterms:created>
  <dcterms:modified xsi:type="dcterms:W3CDTF">2026-10-05T22:22:03Z</dcterms:modified>
</cp:coreProperties>
</file>