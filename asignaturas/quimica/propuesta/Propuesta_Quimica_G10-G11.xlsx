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iones" sheetId="1" state="visible" r:id="rId1"/>
    <sheet name="Distribu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E4D3A"/>
      </patternFill>
    </fill>
    <fill>
      <patternFill patternType="solid">
        <fgColor rgb="00F2F2F2"/>
      </patternFill>
    </fill>
    <fill>
      <patternFill patternType="solid">
        <fgColor rgb="00DDEB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2" customWidth="1" min="3" max="3"/>
    <col width="9" customWidth="1" min="4" max="4"/>
    <col width="9" customWidth="1" min="5" max="5"/>
    <col width="10" customWidth="1" min="6" max="6"/>
    <col width="26" customWidth="1" min="7" max="7"/>
    <col width="48" customWidth="1" min="8" max="8"/>
    <col width="44" customWidth="1" min="9" max="9"/>
    <col width="32" customWidth="1" min="10" max="10"/>
    <col width="34" customWidth="1" min="11" max="11"/>
    <col width="48" customWidth="1" min="12" max="12"/>
  </cols>
  <sheetData>
    <row r="1">
      <c r="A1" s="1" t="inlineStr">
        <is>
          <t>N</t>
        </is>
      </c>
      <c r="B1" s="1" t="inlineStr">
        <is>
          <t>Acción</t>
        </is>
      </c>
      <c r="C1" s="1" t="inlineStr">
        <is>
          <t>Temas afectados</t>
        </is>
      </c>
      <c r="D1" s="1" t="inlineStr">
        <is>
          <t>N.° de temas</t>
        </is>
      </c>
      <c r="E1" s="1" t="inlineStr">
        <is>
          <t>Grado actual</t>
        </is>
      </c>
      <c r="F1" s="1" t="inlineStr">
        <is>
          <t>Grado propuesto</t>
        </is>
      </c>
      <c r="G1" s="1" t="inlineStr">
        <is>
          <t>Unidad propuesta</t>
        </is>
      </c>
      <c r="H1" s="1" t="inlineStr">
        <is>
          <t>Tema propuesto</t>
        </is>
      </c>
      <c r="I1" s="1" t="inlineStr">
        <is>
          <t>Indicador de logro</t>
        </is>
      </c>
      <c r="J1" s="1" t="inlineStr">
        <is>
          <t>Conceptos</t>
        </is>
      </c>
      <c r="K1" s="1" t="inlineStr">
        <is>
          <t>Evidencia</t>
        </is>
      </c>
      <c r="L1" s="1" t="inlineStr">
        <is>
          <t>Justificación</t>
        </is>
      </c>
    </row>
    <row r="2">
      <c r="A2" s="2" t="n">
        <v>1</v>
      </c>
      <c r="B2" s="2" t="inlineStr">
        <is>
          <t>mover</t>
        </is>
      </c>
      <c r="C2" s="2" t="inlineStr">
        <is>
          <t>G11-QUI-U6-6.1</t>
        </is>
      </c>
      <c r="D2" s="2" t="n">
        <v>1</v>
      </c>
      <c r="E2" s="2" t="n">
        <v>11</v>
      </c>
      <c r="F2" s="2" t="n">
        <v>10</v>
      </c>
      <c r="G2" s="2" t="inlineStr">
        <is>
          <t>9. Reacciones químicas (después de 9.2 y antes de la unidad 13)</t>
        </is>
      </c>
      <c r="H2" s="2" t="inlineStr">
        <is>
          <t>9.5. Identificación de las reacciones de oxidación-reducción como transferencia de electrones, con su balance de masa y carga y sus agentes oxidante y reductor.</t>
        </is>
      </c>
      <c r="I2" s="2" t="inlineStr">
        <is>
          <t>Asigna números de oxidación en reacciones de desplazamiento de metales y de combustión, señala qué especie se oxida y cuál se reduce, nombra el agente oxidante y el reductor y comprueba el balance de masa y carga.</t>
        </is>
      </c>
      <c r="J2" s="2" t="inlineStr">
        <is>
          <t>Oxidación y reducción, Agentes oxidantes y reductores, Número de oxidación, Ecuación química y su balanceo</t>
        </is>
      </c>
      <c r="K2" s="2" t="inlineStr">
        <is>
          <t>corregir_secuencia: Oxidación y reducción (11.°) es prerrequisito de Agentes oxidantes y reductores (10.°, G10 13.3 y 13.7), confianza alta; corregir_secuencia: Oxidación y reducción (11.°) es prerrequisito de Electrólisis y celdas electrolíticas (10.°, G10 13.8), confianza alta; ACSCH106 (reforzar: 1 tema, débil)</t>
        </is>
      </c>
      <c r="L2" s="2" t="inlineStr">
        <is>
          <t>La unidad 13 de 10.° usa agentes oxidantes y electrólisis antes de definir la oxidación-reducción, que llega en 11.°. Bajar 6.1 a la unidad 9 corrige ambas secuencias sin gastar presupuesto.</t>
        </is>
      </c>
    </row>
    <row r="3">
      <c r="A3" s="3" t="n">
        <v>2</v>
      </c>
      <c r="B3" s="3" t="inlineStr">
        <is>
          <t>revisar</t>
        </is>
      </c>
      <c r="C3" s="3" t="inlineStr">
        <is>
          <t>G10-QUI-U2-2.6</t>
        </is>
      </c>
      <c r="D3" s="3" t="n">
        <v>1</v>
      </c>
      <c r="E3" s="3" t="n">
        <v>10</v>
      </c>
      <c r="F3" s="3" t="n">
        <v>10</v>
      </c>
      <c r="G3" s="3" t="inlineStr">
        <is>
          <t>2. Las cantidades en química</t>
        </is>
      </c>
      <c r="H3" s="3" t="inlineStr">
        <is>
          <t>2.6. Determinación de la fórmula empírica y molecular de compuestos a partir de datos de análisis elemental y de su masa molar.</t>
        </is>
      </c>
      <c r="I3" s="3" t="inlineStr">
        <is>
          <t>Calcula la fórmula empírica y la molecular de un compuesto a partir de su composición porcentual y su masa molar, y verifica el resultado con la suma de masas atómicas.</t>
        </is>
      </c>
      <c r="J3" s="3" t="inlineStr">
        <is>
          <t>Composición porcentual y fórmulas empírica y molecular</t>
        </is>
      </c>
      <c r="K3" s="3" t="inlineStr">
        <is>
          <t>corregir_secuencia: Hidrocarburos: alcanos, alquenos y alquinos (11.°) es prerrequisito de Isomería estructural (10.°), confianza alta</t>
        </is>
      </c>
      <c r="L3" s="3" t="inlineStr">
        <is>
          <t>El reconocimiento de isómeros sale de 10.°: exige las cadenas de hidrocarburos de 11.°. La isomería se mantiene en 11.° (3.14), después de los hidrocarburos. El tema conserva el cálculo de fórmulas.</t>
        </is>
      </c>
    </row>
    <row r="4">
      <c r="A4" s="2" t="n">
        <v>3</v>
      </c>
      <c r="B4" s="2" t="inlineStr">
        <is>
          <t>nuevo</t>
        </is>
      </c>
      <c r="C4" s="2" t="inlineStr"/>
      <c r="D4" s="2" t="n">
        <v>0</v>
      </c>
      <c r="E4" s="2" t="n"/>
      <c r="F4" s="2" t="n">
        <v>10</v>
      </c>
      <c r="G4" s="2" t="inlineStr">
        <is>
          <t>3. Modelos atómicos y estructura (después de 3.4)</t>
        </is>
      </c>
      <c r="H4" s="2" t="inlineStr">
        <is>
          <t>3.11. Interpretación de espectros de masas para determinar la composición isotópica y la masa atómica relativa de un elemento.</t>
        </is>
      </c>
      <c r="I4" s="2" t="inlineStr">
        <is>
          <t>Lee en un espectro de masas (de cloro, magnesio o boro) la masa y la abundancia de cada isótopo, calcula la masa atómica relativa y describe las etapas del espectrómetro: ionización, aceleración, desviación y detección.</t>
        </is>
      </c>
      <c r="J4" s="2" t="inlineStr">
        <is>
          <t>Espectrometría de masas, Isótopos, Masa atómica relativa, Iones</t>
        </is>
      </c>
      <c r="K4" s="2" t="inlineStr">
        <is>
          <t>ACSCH023 Espectrometría de masas (reforzar: sin cobertura); ACSCH024 Masa atómica relativa (reforzar: 1 tema, débil); prerrequisito: Isótopos, Iones y Masa atómica relativa (G10 3.4, mismo grado)</t>
        </is>
      </c>
      <c r="L4" s="2" t="inlineStr">
        <is>
          <t>ACARA lo ubica en la unidad 1 (≈ 10.°) y la malla no lo trabaja. Va después de 3.4, que da isótopos, iones y masa atómica promedio. Se paga con la fusión 4.</t>
        </is>
      </c>
    </row>
    <row r="5">
      <c r="A5" s="3" t="n">
        <v>4</v>
      </c>
      <c r="B5" s="3" t="inlineStr">
        <is>
          <t>fusionar</t>
        </is>
      </c>
      <c r="C5" s="3" t="inlineStr">
        <is>
          <t>G10-QUI-U1-1.11, G10-QUI-U7-7.1</t>
        </is>
      </c>
      <c r="D5" s="3" t="n">
        <v>2</v>
      </c>
      <c r="E5" s="3" t="n">
        <v>10</v>
      </c>
      <c r="F5" s="3" t="n">
        <v>10</v>
      </c>
      <c r="G5" s="3" t="inlineStr">
        <is>
          <t>1. La química como ciencia: ciclo de indagación</t>
        </is>
      </c>
      <c r="H5" s="3" t="inlineStr">
        <is>
          <t>1.11. Interpretación y comparación de los estados de la materia y de los sistemas materiales mediante el modelo cinético-molecular.</t>
        </is>
      </c>
      <c r="I5" s="3" t="inlineStr">
        <is>
          <t>Compara en un cuadro forma, volumen, compresibilidad y movimiento de las partículas en sólidos, líquidos y gases, y lo justifica con dibujos del modelo cinético-molecular.</t>
        </is>
      </c>
      <c r="J5" s="3" t="inlineStr">
        <is>
          <t>Estados de la materia, Modelo de partículas de la materia</t>
        </is>
      </c>
      <c r="K5" s="3" t="inlineStr">
        <is>
          <t>fusión: ambos temas trabajan Estados de la materia y Modelo de partículas de la materia en 10.°</t>
        </is>
      </c>
      <c r="L5" s="3" t="inlineStr">
        <is>
          <t>1.11 y 7.1 explican lo mismo con el mismo modelo en el mismo grado. La unidad 7 empieza en 7.2, con las fuerzas en sólidos. La fusión paga el tema nuevo de espectrometría de masas (acción 3).</t>
        </is>
      </c>
    </row>
    <row r="6">
      <c r="A6" s="2" t="n">
        <v>5</v>
      </c>
      <c r="B6" s="2" t="inlineStr">
        <is>
          <t>nuevo</t>
        </is>
      </c>
      <c r="C6" s="2" t="inlineStr"/>
      <c r="D6" s="2" t="n">
        <v>0</v>
      </c>
      <c r="E6" s="2" t="n"/>
      <c r="F6" s="2" t="n">
        <v>10</v>
      </c>
      <c r="G6" s="2" t="inlineStr">
        <is>
          <t>12. Cinética y equilibrio químico (después de 12.4 y 12.7, antes de 12.8)</t>
        </is>
      </c>
      <c r="H6" s="2" t="inlineStr">
        <is>
          <t>12.15. Explicación de la reversibilidad y del equilibrio dinámico con la teoría de colisiones y las energías de activación directa e inversa.</t>
        </is>
      </c>
      <c r="I6" s="2" t="inlineStr">
        <is>
          <t>Dibuja el perfil energético de una reacción reversible, señala las energías de activación directa e inversa y predice, con la frecuencia de colisiones, cómo cambian ambas velocidades al variar la concentración o la presión en un sistema cerrado.</t>
        </is>
      </c>
      <c r="J6" s="2" t="inlineStr">
        <is>
          <t>Equilibrio químico dinámico, Teoría de colisiones, Energía de activación y perfil energético</t>
        </is>
      </c>
      <c r="K6" s="2" t="inlineStr">
        <is>
          <t>ACSCH092 Reversibilidad por energías de activación (reforzar: sin cobertura); ACSCH094 Concentración y presión con teoría de colisiones (reforzar: sin cobertura); ACSCH090 Reversibilidad (reforzar: 1 tema, débil); prerrequisito: Teoría de colisiones (G10 12.4) → Equilibrio químico dinámico (G10 12.8)</t>
        </is>
      </c>
      <c r="L6" s="2" t="inlineStr">
        <is>
          <t>La unidad pasa de la cinética al cálculo de K sin explicar por qué una reacción es reversible. Este tema une las dos mitades antes de 12.8. Se paga con la fusión 6.</t>
        </is>
      </c>
    </row>
    <row r="7">
      <c r="A7" s="3" t="n">
        <v>6</v>
      </c>
      <c r="B7" s="3" t="inlineStr">
        <is>
          <t>fusionar</t>
        </is>
      </c>
      <c r="C7" s="3" t="inlineStr">
        <is>
          <t>G11-QUI-U6-6.2, G11-QUI-U6-6.3</t>
        </is>
      </c>
      <c r="D7" s="3" t="n">
        <v>2</v>
      </c>
      <c r="E7" s="3" t="n">
        <v>11</v>
      </c>
      <c r="F7" s="3" t="n">
        <v>11</v>
      </c>
      <c r="G7" s="3" t="inlineStr">
        <is>
          <t>6. Electroquímica (abre la unidad, tras la acción 1)</t>
        </is>
      </c>
      <c r="H7" s="3" t="inlineStr">
        <is>
          <t>6.2. Balanceo de ecuaciones de oxidación-reducción por el método del ion-electrón en medio ácido y básico.</t>
        </is>
      </c>
      <c r="I7" s="3" t="inlineStr">
        <is>
          <t>Balancea ecuaciones redox separando las semirreacciones de oxidación y de reducción, igualando átomos y cargas en medio ácido o básico, y comprueba el balance final.</t>
        </is>
      </c>
      <c r="J7" s="3" t="inlineStr">
        <is>
          <t>Oxidación y reducción, Ecuación química y su balanceo</t>
        </is>
      </c>
      <c r="K7" s="3" t="inlineStr">
        <is>
          <t>fusión: ambos temas trabajan Oxidación y reducción y el balanceo redox (6.1 también, que pasa a 10.°)</t>
        </is>
      </c>
      <c r="L7" s="3" t="inlineStr">
        <is>
          <t>Demostrar el método del ion-electrón y balancear ecuaciones redox son el mismo contenido. La identificación de la redox ya llega en 10.° (acción 1). La fusión paga el tema nuevo de reversibilidad (acción 5).</t>
        </is>
      </c>
    </row>
    <row r="8">
      <c r="A8" s="2" t="n">
        <v>7</v>
      </c>
      <c r="B8" s="2" t="inlineStr">
        <is>
          <t>fusionar</t>
        </is>
      </c>
      <c r="C8" s="2" t="inlineStr">
        <is>
          <t>G11-QUI-U2-2.7, G11-QUI-U2-2.10</t>
        </is>
      </c>
      <c r="D8" s="2" t="n">
        <v>2</v>
      </c>
      <c r="E8" s="2" t="n">
        <v>11</v>
      </c>
      <c r="F8" s="2" t="n">
        <v>11</v>
      </c>
      <c r="G8" s="2" t="inlineStr">
        <is>
          <t>2. Introducción a la química orgánica</t>
        </is>
      </c>
      <c r="H8" s="2" t="inlineStr">
        <is>
          <t>2.7. Identificación de las funciones alqueno y alquino a partir de sus aplicaciones.</t>
        </is>
      </c>
      <c r="I8" s="2" t="inlineStr">
        <is>
          <t>Reconoce el doble y el triple enlace en fórmulas de productos de uso común (eteno en la maduración de frutas, acetileno en soldadura) y los distingue de los alcanos.</t>
        </is>
      </c>
      <c r="J8" s="2" t="inlineStr">
        <is>
          <t>Hidrocarburos: alcanos, alquenos y alquinos</t>
        </is>
      </c>
      <c r="K8" s="2" t="inlineStr">
        <is>
          <t>fusión: ambos temas trabajan Hidrocarburos: alcanos, alquenos y alquinos (ACSCH035 ya tiene 13 temas en el ciclo)</t>
        </is>
      </c>
      <c r="L8" s="2" t="inlineStr">
        <is>
          <t>La unidad repite para alquenos y alquinos la terna identificación-propiedades-nomenclatura. Unir la identificación de ambas funciones libera un tema para técnicas de determinación de estructuras (acción 10).</t>
        </is>
      </c>
    </row>
    <row r="9">
      <c r="A9" s="3" t="n">
        <v>8</v>
      </c>
      <c r="B9" s="3" t="inlineStr">
        <is>
          <t>fusionar</t>
        </is>
      </c>
      <c r="C9" s="3" t="inlineStr">
        <is>
          <t>G11-QUI-U2-2.8, G11-QUI-U2-2.11</t>
        </is>
      </c>
      <c r="D9" s="3" t="n">
        <v>2</v>
      </c>
      <c r="E9" s="3" t="n">
        <v>11</v>
      </c>
      <c r="F9" s="3" t="n">
        <v>11</v>
      </c>
      <c r="G9" s="3" t="inlineStr">
        <is>
          <t>2. Introducción a la química orgánica</t>
        </is>
      </c>
      <c r="H9" s="3" t="inlineStr">
        <is>
          <t>2.8. Demostración práctica de las propiedades físicas y químicas de los alquenos y los alquinos.</t>
        </is>
      </c>
      <c r="I9" s="3" t="inlineStr">
        <is>
          <t>Compara con pruebas sencillas (decoloración del agua de bromo o del permanganato) la reactividad de alcanos, alquenos y alquinos y la explica por el tipo de enlace.</t>
        </is>
      </c>
      <c r="J9" s="3" t="inlineStr">
        <is>
          <t>Hidrocarburos: alcanos, alquenos y alquinos, Reacciones orgánicas características</t>
        </is>
      </c>
      <c r="K9" s="3" t="inlineStr">
        <is>
          <t>fusión: ambos temas trabajan Hidrocarburos y Reacciones orgánicas características; ACSCH035 (las propiedades dependen del tipo de enlace)</t>
        </is>
      </c>
      <c r="L9" s="3" t="inlineStr">
        <is>
          <t>Las pruebas de insaturación son las mismas para alquenos y alquinos; compararlas juntas responde mejor a ACSCH035. La fusión paga el tema nuevo de combustibles (acción 11).</t>
        </is>
      </c>
    </row>
    <row r="10">
      <c r="A10" s="2" t="n">
        <v>9</v>
      </c>
      <c r="B10" s="2" t="inlineStr">
        <is>
          <t>fusionar</t>
        </is>
      </c>
      <c r="C10" s="2" t="inlineStr">
        <is>
          <t>G11-QUI-U2-2.9, G11-QUI-U2-2.12</t>
        </is>
      </c>
      <c r="D10" s="2" t="n">
        <v>2</v>
      </c>
      <c r="E10" s="2" t="n">
        <v>11</v>
      </c>
      <c r="F10" s="2" t="n">
        <v>11</v>
      </c>
      <c r="G10" s="2" t="inlineStr">
        <is>
          <t>2. Introducción a la química orgánica</t>
        </is>
      </c>
      <c r="H10" s="2" t="inlineStr">
        <is>
          <t>2.9. Explicación de la nomenclatura IUPAC para nombrar alquenos y alquinos.</t>
        </is>
      </c>
      <c r="I10" s="2" t="inlineStr">
        <is>
          <t>Nombra y dibuja alquenos y alquinos de hasta ocho carbonos, numerando la cadena desde el extremo más cercano al enlace múltiple.</t>
        </is>
      </c>
      <c r="J10" s="2" t="inlineStr">
        <is>
          <t>Hidrocarburos: alcanos, alquenos y alquinos, Nomenclatura orgánica IUPAC</t>
        </is>
      </c>
      <c r="K10" s="2" t="inlineStr">
        <is>
          <t>fusión: ambos temas trabajan Nomenclatura orgánica IUPAC de hidrocarburos insaturados</t>
        </is>
      </c>
      <c r="L10" s="2" t="inlineStr">
        <is>
          <t>Las reglas IUPAC de alquenos y alquinos son las mismas salvo el sufijo. La fusión paga el tema nuevo de diseño de síntesis (acción 12).</t>
        </is>
      </c>
    </row>
    <row r="11">
      <c r="A11" s="3" t="n">
        <v>10</v>
      </c>
      <c r="B11" s="3" t="inlineStr">
        <is>
          <t>nuevo</t>
        </is>
      </c>
      <c r="C11" s="3" t="inlineStr"/>
      <c r="D11" s="3" t="n">
        <v>0</v>
      </c>
      <c r="E11" s="3" t="n"/>
      <c r="F11" s="3" t="n">
        <v>11</v>
      </c>
      <c r="G11" s="3" t="inlineStr">
        <is>
          <t>3. Compuestos orgánicos (después de 3.12)</t>
        </is>
      </c>
      <c r="H11" s="3" t="inlineStr">
        <is>
          <t>3.15. Determinación de la estructura de compuestos orgánicos combinando espectros infrarrojos y de masas.</t>
        </is>
      </c>
      <c r="I11" s="3" t="inlineStr">
        <is>
          <t>Propone la estructura de un compuesto orgánico sencillo a partir de su ion molecular en el espectro de masas y de las bandas del grupo funcional en el espectro infrarrojo, y justifica la elección con ambas evidencias.</t>
        </is>
      </c>
      <c r="J11" s="3" t="inlineStr">
        <is>
          <t>Técnicas para determinar estructuras orgánicas, Espectrometría de masas, Grupos funcionales</t>
        </is>
      </c>
      <c r="K11" s="3" t="inlineStr">
        <is>
          <t>ACSCH130 Determinación de estructuras orgánicas (reforzar: 1 tema, débil); prerrequisito: Grupos funcionales (G11 3.4 a 3.12) y Espectrometría de masas (acción 3, 10.°)</t>
        </is>
      </c>
      <c r="L11" s="3" t="inlineStr">
        <is>
          <t>ACSCH130 solo aparece de paso en el cálculo de fórmulas de 10.°. Va al cierre de la unidad, cuando ya se conocen los grupos funcionales, y retoma la espectrometría de 10.°. Se paga con la fusión 7.</t>
        </is>
      </c>
    </row>
    <row r="12">
      <c r="A12" s="2" t="n">
        <v>11</v>
      </c>
      <c r="B12" s="2" t="inlineStr">
        <is>
          <t>nuevo</t>
        </is>
      </c>
      <c r="C12" s="2" t="inlineStr"/>
      <c r="D12" s="2" t="n">
        <v>0</v>
      </c>
      <c r="E12" s="2" t="n"/>
      <c r="F12" s="2" t="n">
        <v>11</v>
      </c>
      <c r="G12" s="2" t="inlineStr">
        <is>
          <t>9. Compuestos del carbono (después de 9.3)</t>
        </is>
      </c>
      <c r="H12" s="2" t="inlineStr">
        <is>
          <t>9.8. Comparación de combustibles fósiles y biocombustibles según la energía liberada, su idoneidad de uso y sus productos de combustión.</t>
        </is>
      </c>
      <c r="I12" s="2" t="inlineStr">
        <is>
          <t>Mide o calcula con datos la energía liberada por gramo de propano, gasolina, etanol y biodiésel, compara sus productos de combustión (CO2, CO, hollín, SO2) y recomienda un combustible para un uso local justificando su elección.</t>
        </is>
      </c>
      <c r="J12" s="2" t="inlineStr">
        <is>
          <t>Combustibles fósiles y biocombustibles, Combustión, Entalpía de reacción y ecuaciones termoquímicas</t>
        </is>
      </c>
      <c r="K12" s="2" t="inlineStr">
        <is>
          <t>ACSCH038 Combustibles fósiles y biocombustibles (reforzar: sin cobertura); ACSCH137 Síntesis de combustibles (reforzar: 1 tema, débil; G11 7.3); prerrequisito: Combustión e Hidrocarburos (G11 9.3 y unidad 2)</t>
        </is>
      </c>
      <c r="L12" s="2" t="inlineStr">
        <is>
          <t>ACARA lo pide en la unidad 1, pero la combustión y los hidrocarburos llegan en 11.°; por eso va después de 9.3. Retoma la entalpía de 10.° y el etanol de caña de 7.3. Se paga con la fusión 8.</t>
        </is>
      </c>
    </row>
    <row r="13">
      <c r="A13" s="3" t="n">
        <v>12</v>
      </c>
      <c r="B13" s="3" t="inlineStr">
        <is>
          <t>nuevo</t>
        </is>
      </c>
      <c r="C13" s="3" t="inlineStr"/>
      <c r="D13" s="3" t="n">
        <v>0</v>
      </c>
      <c r="E13" s="3" t="n"/>
      <c r="F13" s="3" t="n">
        <v>11</v>
      </c>
      <c r="G13" s="3" t="inlineStr">
        <is>
          <t>9. Compuestos del carbono (después de 9.6)</t>
        </is>
      </c>
      <c r="H13" s="3" t="inlineStr">
        <is>
          <t>9.9. Diseño de una ruta de síntesis para obtener un producto con propiedades específicas, con selección de reactivos y condiciones.</t>
        </is>
      </c>
      <c r="I13" s="3" t="inlineStr">
        <is>
          <t>Propone una ruta de una o dos reacciones para obtener un éster aromatizante, un jabón o un fármaco sencillo (ácido acetilsalicílico), justifica reactivos, condiciones y catalizador para maximizar rendimiento y pureza, y calcula el rendimiento esperado.</t>
        </is>
      </c>
      <c r="J13" s="3" t="inlineStr">
        <is>
          <t>Síntesis química y rutas de reacción, Reacciones orgánicas características, Rendimiento de una reacción, Química verde y economía atómica</t>
        </is>
      </c>
      <c r="K13" s="3" t="inlineStr">
        <is>
          <t>ACSCH131 Síntesis química (reforzar: sin cobertura); ACSCH133 Selección de reactivos y condiciones (reforzar: 1 tema, débil); prerrequisito: Reacciones orgánicas características (G11 9.2 a 9.6) y Rendimiento de una reacción (G10 10.3)</t>
        </is>
      </c>
      <c r="L13" s="3" t="inlineStr">
        <is>
          <t>La malla trabaja cada reacción orgánica por separado, pero no pide combinarlas para obtener un producto. Es el cierre natural de la unidad 9 y aplica la química verde de 7.7. Se paga con la fusión 9.</t>
        </is>
      </c>
    </row>
    <row r="14">
      <c r="A14" s="2" t="n">
        <v>13</v>
      </c>
      <c r="B14" s="2" t="inlineStr">
        <is>
          <t>revisar</t>
        </is>
      </c>
      <c r="C14" s="2" t="inlineStr">
        <is>
          <t>G11-QUI-U6-6.9</t>
        </is>
      </c>
      <c r="D14" s="2" t="n">
        <v>1</v>
      </c>
      <c r="E14" s="2" t="n">
        <v>11</v>
      </c>
      <c r="F14" s="2" t="n">
        <v>11</v>
      </c>
      <c r="G14" s="2" t="inlineStr">
        <is>
          <t>6. Electroquímica</t>
        </is>
      </c>
      <c r="H14" s="2" t="inlineStr">
        <is>
          <t>6.9. Análisis de aplicaciones de la electroquímica, incluidas las celdas de combustible y sus catalizadores de nanopartículas metálicas, y de sus impactos.</t>
        </is>
      </c>
      <c r="I14" s="2" t="inlineStr">
        <is>
          <t>Explica con un esquema las semirreacciones de una celda de combustible de hidrógeno, el papel del catalizador de nanopartículas de platino y compara su eficiencia e impacto con una pila o batería común.</t>
        </is>
      </c>
      <c r="J14" s="2" t="inlineStr">
        <is>
          <t>Celdas galvánicas, Electrólisis y celdas electrolíticas, Catalizadores, Nanomateriales y manufactura molecular</t>
        </is>
      </c>
      <c r="K14" s="2" t="inlineStr">
        <is>
          <t>ACSCH109 Nanocatalizadores en celdas de combustible (reforzar: sin cobertura); ACSCH106 Agentes oxidantes y reductores (reforzar: 1 tema, débil)</t>
        </is>
      </c>
      <c r="L14" s="2" t="inlineStr">
        <is>
          <t>El tema es genérico. Se precisa con las celdas de combustible y los nanocatalizadores, el faltante de ACARA, sin gastar presupuesto.</t>
        </is>
      </c>
    </row>
    <row r="15">
      <c r="A15" s="3" t="n">
        <v>14</v>
      </c>
      <c r="B15" s="3" t="inlineStr">
        <is>
          <t>revisar</t>
        </is>
      </c>
      <c r="C15" s="3" t="inlineStr">
        <is>
          <t>G11-QUI-U1-1.9</t>
        </is>
      </c>
      <c r="D15" s="3" t="n">
        <v>1</v>
      </c>
      <c r="E15" s="3" t="n">
        <v>11</v>
      </c>
      <c r="F15" s="3" t="n">
        <v>11</v>
      </c>
      <c r="G15" s="3" t="inlineStr">
        <is>
          <t>1. Ciencia de materiales</t>
        </is>
      </c>
      <c r="H15" s="3" t="inlineStr">
        <is>
          <t>1.9. Investigación de las aplicaciones de los nanomateriales y de la manufactura molecular: nanotubos de carbono, nanorrobots y sensores médicos.</t>
        </is>
      </c>
      <c r="I15" s="3" t="inlineStr">
        <is>
          <t>Expone, con fuentes, cómo se obtiene y para qué se usa un producto de la manufactura molecular (nanotubos, nanosensores) y relaciona sus propiedades con el tamaño y la posición controlada de sus moléculas.</t>
        </is>
      </c>
      <c r="J15" s="3" t="inlineStr">
        <is>
          <t>Nanomateriales y manufactura molecular, Redes covalentes y alótropos del carbono</t>
        </is>
      </c>
      <c r="K15" s="3" t="inlineStr">
        <is>
          <t>ACSCH138 Manufactura molecular (reforzar: sin cobertura); ACSCH034 Alótropos del carbono (reforzar: 1 tema, débil)</t>
        </is>
      </c>
      <c r="L15" s="3" t="inlineStr">
        <is>
          <t>El concepto de manufactura molecular ya está en la malla, pero ningún tema lo pide de forma explícita. Se agrega al tema de aplicaciones de nanomateriales sin gastar presupuesto.</t>
        </is>
      </c>
    </row>
    <row r="16">
      <c r="A16" s="2" t="n">
        <v>15</v>
      </c>
      <c r="B16" s="2" t="inlineStr">
        <is>
          <t>revisar</t>
        </is>
      </c>
      <c r="C16" s="2" t="inlineStr">
        <is>
          <t>G10-QUI-U9-9.2</t>
        </is>
      </c>
      <c r="D16" s="2" t="n">
        <v>1</v>
      </c>
      <c r="E16" s="2" t="n">
        <v>10</v>
      </c>
      <c r="F16" s="2" t="n">
        <v>10</v>
      </c>
      <c r="G16" s="2" t="inlineStr">
        <is>
          <t>9. Reacciones químicas</t>
        </is>
      </c>
      <c r="H16" s="2" t="inlineStr">
        <is>
          <t>9.2. Clasificación de reacciones químicas cotidianas e industriales y predicción de productos de las reacciones de ácidos con metales, carbonatos y bases.</t>
        </is>
      </c>
      <c r="I16" s="2" t="inlineStr">
        <is>
          <t>Clasifica reacciones por la reorganización de reactivos y productos, y predice y comprueba con indicadores y escala de pH los productos de un ácido con zinc, con bicarbonato y con una base.</t>
        </is>
      </c>
      <c r="J16" s="2" t="inlineStr">
        <is>
          <t>Clasificación de las reacciones químicas, Ácidos y bases: propiedades, Escala de pH</t>
        </is>
      </c>
      <c r="K16" s="2" t="inlineStr">
        <is>
          <t>ACSCH067 Patrones de reacción de ácidos y bases (reforzar: sin cobertura); ACSCH066 Escala de pH (reforzar: sin cobertura); ACSCH101 Indicadores ácido-base (reforzar: 1 tema, débil)</t>
        </is>
      </c>
      <c r="L16" s="2" t="inlineStr">
        <is>
          <t>10.° no trabaja ácidos y bases; 11.° empieza en el nivel avanzado (Kw, Ka, amortiguadores). El tema retoma lo visto en 7.° y 9.° con los patrones de reacción de ACARA, sin gastar presupuesto.</t>
        </is>
      </c>
    </row>
    <row r="17">
      <c r="A17" s="3" t="n">
        <v>16</v>
      </c>
      <c r="B17" s="3" t="inlineStr">
        <is>
          <t>revisar</t>
        </is>
      </c>
      <c r="C17" s="3" t="inlineStr">
        <is>
          <t>G11-QUI-U2-2.2</t>
        </is>
      </c>
      <c r="D17" s="3" t="n">
        <v>1</v>
      </c>
      <c r="E17" s="3" t="n">
        <v>11</v>
      </c>
      <c r="F17" s="3" t="n">
        <v>11</v>
      </c>
      <c r="G17" s="3" t="inlineStr">
        <is>
          <t>2. Introducción a la química orgánica</t>
        </is>
      </c>
      <c r="H17" s="3" t="inlineStr">
        <is>
          <t>2.2. Relación de la hibridación sp3, sp2 y sp del carbono con los enlaces simples, dobles y triples mediante modelos tridimensionales.</t>
        </is>
      </c>
      <c r="I17" s="3" t="inlineStr">
        <is>
          <t>Construye modelos de metano, eteno y etino y relaciona la hibridación del carbono con la geometría y el tipo de enlace de cada uno.</t>
        </is>
      </c>
      <c r="J17" s="3" t="inlineStr">
        <is>
          <t>Hibridación de orbitales, El carbono y las moléculas orgánicas, Hidrocarburos: alcanos, alquenos y alquinos</t>
        </is>
      </c>
      <c r="K17" s="3" t="inlineStr">
        <is>
          <t>repetición: Hibridación de orbitales ya se trabaja en G10 5.7</t>
        </is>
      </c>
      <c r="L17" s="3" t="inlineStr">
        <is>
          <t>La hibridación se enseña en 10.° (5.7) y se repite en 11.°. El tema se reorienta a aplicarla al carbono como base de la unidad de hidrocarburos, en lugar de volver a presentarla.</t>
        </is>
      </c>
    </row>
    <row r="18">
      <c r="A18" s="2" t="n">
        <v>17</v>
      </c>
      <c r="B18" s="2" t="inlineStr">
        <is>
          <t>revisar</t>
        </is>
      </c>
      <c r="C18" s="2" t="inlineStr">
        <is>
          <t>G10-QUI-U3-3.8, G10-QUI-U5-5.3, G10-QUI-U5-5.11, G10-QUI-U11-11.4, G10-QUI-U11-11.5, G10-QUI-U11-11.6, G10-QUI-U11-11.7, G10-QUI-U12-12.3, G10-QUI-U12-12.5, G10-QUI-U12-12.13</t>
        </is>
      </c>
      <c r="D18" s="2" t="n">
        <v>10</v>
      </c>
      <c r="E18" s="2" t="n">
        <v>10</v>
      </c>
      <c r="F18" s="2" t="n">
        <v>10</v>
      </c>
      <c r="G18" s="2" t="inlineStr">
        <is>
          <t>3, 5, 11 y 12 (sin cambio de ubicación)</t>
        </is>
      </c>
      <c r="H18" s="2" t="inlineStr">
        <is>
          <t>Se mantienen con su redacción actual; el MINED define su nivel de profundidad.</t>
        </is>
      </c>
      <c r="I18" s="2" t="inlineStr">
        <is>
          <t>Sin cambio hasta la decisión del MINED.</t>
        </is>
      </c>
      <c r="J18" s="2" t="inlineStr">
        <is>
          <t>Números cuánticos, Teorías del enlace de valencia y de orbitales moleculares, Energía reticular y ciclo de Born-Haber, Entropía, Energía de Gibbs y espontaneidad, Ley de velocidad, orden de reacción y ecuación de Arrhenius, Mecanismos de reacción, Relación entre energía de Gibbs y constante de equilibrio</t>
        </is>
      </c>
      <c r="K18" s="2" t="inlineStr">
        <is>
          <t>README de Química: la malla va más allá de ACARA en 10.° (números cuánticos, Born-Haber, leyes de velocidad, entropía y Gibbs); decisión abierta del MINED</t>
        </is>
      </c>
      <c r="L18" s="2" t="inlineStr">
        <is>
          <t>Son contenidos de primer año universitario que ACARA no pide en las unidades 1 y 2. No se quitan. Si el MINED decide aligerarlos, liberarían tiempo para los faltantes de ACARA.</t>
        </is>
      </c>
    </row>
    <row r="19">
      <c r="A19" s="3" t="n">
        <v>18</v>
      </c>
      <c r="B19" s="3" t="inlineStr">
        <is>
          <t>revisar</t>
        </is>
      </c>
      <c r="C19" s="3" t="inlineStr">
        <is>
          <t>G11-QUI-U3-3.13, G11-QUI-U5-5.4, G11-QUI-U6-6.10, G11-QUI-U8-8.3, G11-QUI-U9-9.1</t>
        </is>
      </c>
      <c r="D19" s="3" t="n">
        <v>5</v>
      </c>
      <c r="E19" s="3" t="n">
        <v>11</v>
      </c>
      <c r="F19" s="3" t="n">
        <v>11</v>
      </c>
      <c r="G19" s="3" t="inlineStr">
        <is>
          <t>3, 5, 6, 8 y 9 (sin cambio de ubicación)</t>
        </is>
      </c>
      <c r="H19" s="3" t="inlineStr">
        <is>
          <t>Se mantienen con su redacción actual; el MINED define su nivel de profundidad.</t>
        </is>
      </c>
      <c r="I19" s="3" t="inlineStr">
        <is>
          <t>Sin cambio hasta la decisión del MINED.</t>
        </is>
      </c>
      <c r="J19" s="3" t="inlineStr">
        <is>
          <t>Estereoquímica y quiralidad, Producto de solubilidad (Kps), Ecuación de Nernst, Semivida, series de desintegración y residuos radiactivos, Fundamentos de la reactividad orgánica</t>
        </is>
      </c>
      <c r="K19" s="3" t="inlineStr">
        <is>
          <t>README de Química: en 11.° la malla va más allá de ACARA (química nuclear, Ksp, Nernst, estereoquímica y mecanismos); decisión abierta del MINED</t>
        </is>
      </c>
      <c r="L19" s="3" t="inlineStr">
        <is>
          <t>Son los temas más avanzados de cada bloque. No se quitan: se señalan para que el MINED decida si conserva ese nivel o los trata de forma cualitativa.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12" customWidth="1" min="4" max="4"/>
    <col width="22" customWidth="1" min="5" max="5"/>
    <col width="22" customWidth="1" min="6" max="6"/>
  </cols>
  <sheetData>
    <row r="1">
      <c r="A1" s="1" t="inlineStr">
        <is>
          <t>Grado</t>
        </is>
      </c>
      <c r="B1" s="1" t="inlineStr">
        <is>
          <t>Temas actuales</t>
        </is>
      </c>
      <c r="C1" s="1" t="inlineStr">
        <is>
          <t>Temas propuestos</t>
        </is>
      </c>
      <c r="D1" s="1" t="inlineStr">
        <is>
          <t>Diferencia</t>
        </is>
      </c>
      <c r="E1" s="1" t="inlineStr">
        <is>
          <t>Acciones que salen del grado</t>
        </is>
      </c>
      <c r="F1" s="1" t="inlineStr">
        <is>
          <t>Acciones que llegan al grado</t>
        </is>
      </c>
    </row>
    <row r="2">
      <c r="A2" s="4" t="n">
        <v>10</v>
      </c>
      <c r="B2" s="4" t="n">
        <v>112</v>
      </c>
      <c r="C2" s="4" t="n">
        <v>114</v>
      </c>
      <c r="D2" s="4">
        <f>C2-B2</f>
        <v/>
      </c>
      <c r="E2" s="4">
        <f>COUNTIFS(Acciones!E:E,A2,Acciones!B:B,"mover")</f>
        <v/>
      </c>
      <c r="F2" s="4">
        <f>COUNTIFS(Acciones!F:F,A2,Acciones!B:B,"mover")</f>
        <v/>
      </c>
    </row>
    <row r="3">
      <c r="A3" s="4" t="n">
        <v>11</v>
      </c>
      <c r="B3" s="4" t="n">
        <v>97</v>
      </c>
      <c r="C3" s="4" t="n">
        <v>95</v>
      </c>
      <c r="D3" s="4">
        <f>C3-B3</f>
        <v/>
      </c>
      <c r="E3" s="4">
        <f>COUNTIFS(Acciones!E:E,A3,Acciones!B:B,"mover")</f>
        <v/>
      </c>
      <c r="F3" s="4">
        <f>COUNTIFS(Acciones!F:F,A3,Acciones!B:B,"mover")</f>
        <v/>
      </c>
    </row>
    <row r="4">
      <c r="A4" s="5" t="inlineStr">
        <is>
          <t>Total</t>
        </is>
      </c>
      <c r="B4" s="5">
        <f>SUM(B2:B3)</f>
        <v/>
      </c>
      <c r="C4" s="5">
        <f>SUM(C2:C3)</f>
        <v/>
      </c>
      <c r="D4" s="5">
        <f>C4-B4</f>
        <v/>
      </c>
      <c r="E4" s="5">
        <f>SUM(E2:E3)</f>
        <v/>
      </c>
      <c r="F4" s="5">
        <f>SUM(F2:F3)</f>
        <v/>
      </c>
    </row>
    <row r="6">
      <c r="A6" t="inlineStr">
        <is>
          <t>Regla: el total del ciclo no cambia (Diferencia del total = 0). Fuente: gskg propuesta + revisión del especialista; estado: borrador, pendiente de revisión del equipo de Ciencias del MINED.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2026-10-05T20:37:10Z</dcterms:created>
  <dcterms:modified xsi:type="dcterms:W3CDTF">2026-10-05T20:37:10Z</dcterms:modified>
</cp:coreProperties>
</file>