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iones" sheetId="1" state="visible" r:id="rId1"/>
    <sheet name="Distribucion"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font>
  </fonts>
  <fills count="5">
    <fill>
      <patternFill/>
    </fill>
    <fill>
      <patternFill patternType="gray125"/>
    </fill>
    <fill>
      <patternFill patternType="solid">
        <fgColor rgb="001E4D3A"/>
      </patternFill>
    </fill>
    <fill>
      <patternFill patternType="solid">
        <fgColor rgb="00F2F2F2"/>
      </patternFill>
    </fill>
    <fill>
      <patternFill patternType="solid">
        <fgColor rgb="00DDEBD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2" fillId="0" borderId="0" applyAlignment="1" pivotButton="0" quotePrefix="0" xfId="0">
      <alignment vertical="top" wrapText="1"/>
    </xf>
    <xf numFmtId="0" fontId="2" fillId="0" borderId="0" pivotButton="0" quotePrefix="0" xfId="0"/>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22" customWidth="1" min="3" max="3"/>
    <col width="9" customWidth="1" min="4" max="4"/>
    <col width="9" customWidth="1" min="5" max="5"/>
    <col width="10" customWidth="1" min="6" max="6"/>
    <col width="26" customWidth="1" min="7" max="7"/>
    <col width="48" customWidth="1" min="8" max="8"/>
    <col width="44" customWidth="1" min="9" max="9"/>
    <col width="32" customWidth="1" min="10" max="10"/>
    <col width="34" customWidth="1" min="11" max="11"/>
    <col width="48" customWidth="1" min="12" max="12"/>
  </cols>
  <sheetData>
    <row r="1">
      <c r="A1" s="1" t="inlineStr">
        <is>
          <t>N</t>
        </is>
      </c>
      <c r="B1" s="1" t="inlineStr">
        <is>
          <t>Acción</t>
        </is>
      </c>
      <c r="C1" s="1" t="inlineStr">
        <is>
          <t>Temas afectados</t>
        </is>
      </c>
      <c r="D1" s="1" t="inlineStr">
        <is>
          <t>N.° de temas</t>
        </is>
      </c>
      <c r="E1" s="1" t="inlineStr">
        <is>
          <t>Grado actual</t>
        </is>
      </c>
      <c r="F1" s="1" t="inlineStr">
        <is>
          <t>Grado propuesto</t>
        </is>
      </c>
      <c r="G1" s="1" t="inlineStr">
        <is>
          <t>Unidad propuesta</t>
        </is>
      </c>
      <c r="H1" s="1" t="inlineStr">
        <is>
          <t>Tema propuesto</t>
        </is>
      </c>
      <c r="I1" s="1" t="inlineStr">
        <is>
          <t>Indicador de logro</t>
        </is>
      </c>
      <c r="J1" s="1" t="inlineStr">
        <is>
          <t>Conceptos</t>
        </is>
      </c>
      <c r="K1" s="1" t="inlineStr">
        <is>
          <t>Evidencia</t>
        </is>
      </c>
      <c r="L1" s="1" t="inlineStr">
        <is>
          <t>Justificación</t>
        </is>
      </c>
    </row>
    <row r="2">
      <c r="A2" s="2" t="n">
        <v>1</v>
      </c>
      <c r="B2" s="2" t="inlineStr">
        <is>
          <t>mover</t>
        </is>
      </c>
      <c r="C2" s="2" t="inlineStr">
        <is>
          <t>G11-QUI-U6-6.1</t>
        </is>
      </c>
      <c r="D2" s="2" t="n">
        <v>1</v>
      </c>
      <c r="E2" s="2" t="n">
        <v>11</v>
      </c>
      <c r="F2" s="2" t="n">
        <v>10</v>
      </c>
      <c r="G2" s="2" t="inlineStr">
        <is>
          <t>9. Reacciones químicas (después de 9.2 y antes de la unidad 13)</t>
        </is>
      </c>
      <c r="H2" s="2" t="inlineStr">
        <is>
          <t>9.5. Identificación de las reacciones de oxidación-reducción como transferencia de electrones, con su balance de masa y carga y sus agentes oxidante y reductor.</t>
        </is>
      </c>
      <c r="I2" s="2" t="inlineStr">
        <is>
          <t>Asigna números de oxidación en reacciones de desplazamiento de metales y de combustión, señala qué especie se oxida y cuál se reduce, nombra el agente oxidante y el reductor y comprueba el balance de masa y carga.</t>
        </is>
      </c>
      <c r="J2" s="2" t="inlineStr">
        <is>
          <t>Oxidación y reducción, Agentes oxidantes y reductores, Número de oxidación, Ecuación química y su balanceo</t>
        </is>
      </c>
      <c r="K2" s="2" t="inlineStr">
        <is>
          <t>mover_antes: Oxidación y reducción, ENG 6, JP 7 (destino sugerido 10.°, sin bloqueos); corregir_secuencia: Oxidación y reducción (11.°) es prerrequisito de Agentes oxidantes y reductores (10.°, G10 13.3 y 13.7), confianza alta; corregir_secuencia: Oxidación y reducción (11.°) es prerrequisito de Electrólisis y celdas electrolíticas (10.°, G10 13.8), confianza alta; ACSCH106 (reforzar: 1 tema, débil)</t>
        </is>
      </c>
      <c r="L2" s="2" t="inlineStr">
        <is>
          <t>La unidad 13 de 10.° usa agentes oxidantes y electrólisis antes de definir la oxidación-reducción, que llega en 11.°. Bajar 6.1 a la unidad 9 corrige ambas secuencias sin gastar presupuesto.</t>
        </is>
      </c>
    </row>
    <row r="3">
      <c r="A3" s="3" t="n">
        <v>2</v>
      </c>
      <c r="B3" s="3" t="inlineStr">
        <is>
          <t>dividir</t>
        </is>
      </c>
      <c r="C3" s="3" t="inlineStr">
        <is>
          <t>G10-QUI-U2-2.6</t>
        </is>
      </c>
      <c r="D3" s="3" t="n">
        <v>1</v>
      </c>
      <c r="E3" s="3" t="n">
        <v>10</v>
      </c>
      <c r="F3" s="3" t="n">
        <v>11</v>
      </c>
      <c r="G3" s="3" t="inlineStr">
        <is>
          <t>2. Introducción a la química orgánica (después de 2.9, nomenclatura de alquenos y alquinos; antes de la unidad 3)</t>
        </is>
      </c>
      <c r="H3" s="3" t="inlineStr">
        <is>
          <t>2.13. Construcción de isómeros de cadena y de posición de alcanos y alquenos con modelos moleculares y su nombre IUPAC.</t>
        </is>
      </c>
      <c r="I3" s="3" t="inlineStr">
        <is>
          <t>Construye con modelos moleculares todos los isómeros de cadena del C5H12 y los de posición del C4H8, escribe sus fórmulas semidesarrolladas, los nombra según la IUPAC y explica por qué comparten la fórmula molecular pero no las propiedades.</t>
        </is>
      </c>
      <c r="J3" s="3" t="inlineStr">
        <is>
          <t>Isomería estructural, Hidrocarburos: alcanos, alquenos y alquinos, Nomenclatura orgánica IUPAC</t>
        </is>
      </c>
      <c r="K3" s="3" t="inlineStr">
        <is>
          <t>corregir_secuencia: Hidrocarburos: alcanos, alquenos y alquinos (11.°) es prerrequisito de Isomería estructural (10.°, G10 2.6), confianza alta; simulación de v1: reformular 2.6 (revisar) no le quitaba la isomería y la secuencia seguía invertida; prerrequisito: Hidrocarburos y Nomenclatura orgánica IUPAC (G11 2.4 a 2.9, mismo grado, antes)</t>
        </is>
      </c>
      <c r="L3" s="3" t="inlineStr">
        <is>
          <t>El reconocimiento de isómeros sale de 2.6 de 10.° y pasa a 11.°, justo después de nombrar alcanos y alquenos. Prepara 3.14 (estereoisómeros). El resto de 2.6 se une con 2.5 (acción 19), que paga este tema.</t>
        </is>
      </c>
    </row>
    <row r="4">
      <c r="A4" s="2" t="n">
        <v>3</v>
      </c>
      <c r="B4" s="2" t="inlineStr">
        <is>
          <t>nuevo</t>
        </is>
      </c>
      <c r="C4" s="2" t="inlineStr"/>
      <c r="D4" s="2" t="n">
        <v>0</v>
      </c>
      <c r="E4" s="2" t="n"/>
      <c r="F4" s="2" t="n">
        <v>10</v>
      </c>
      <c r="G4" s="2" t="inlineStr">
        <is>
          <t>3. Modelos atómicos y estructura (después de 3.4)</t>
        </is>
      </c>
      <c r="H4" s="2" t="inlineStr">
        <is>
          <t>3.11. Interpretación de espectros de masas para determinar la composición isotópica y la masa atómica relativa de un elemento.</t>
        </is>
      </c>
      <c r="I4" s="2" t="inlineStr">
        <is>
          <t>Lee en un espectro de masas (de cloro, magnesio o boro) la masa y la abundancia de cada isótopo, calcula la masa atómica relativa y describe las etapas del espectrómetro: ionización, aceleración, desviación y detección.</t>
        </is>
      </c>
      <c r="J4" s="2" t="inlineStr">
        <is>
          <t>Espectrometría de masas, Isótopos, Masa atómica relativa, Iones</t>
        </is>
      </c>
      <c r="K4" s="2" t="inlineStr">
        <is>
          <t>ACSCH023 Espectrometría de masas (reforzar: sin cobertura); ACSCH024 Masa atómica relativa (reforzar: 1 tema, débil); prerrequisito: Isótopos, Iones y Masa atómica relativa (G10 3.4, mismo grado)</t>
        </is>
      </c>
      <c r="L4" s="2" t="inlineStr">
        <is>
          <t>ACARA lo ubica en la unidad 1 (≈ 10.°) y la malla no lo trabaja. Va después de 3.4, que da isótopos, iones y masa atómica promedio. Se paga con la fusión 4.</t>
        </is>
      </c>
    </row>
    <row r="5">
      <c r="A5" s="3" t="n">
        <v>4</v>
      </c>
      <c r="B5" s="3" t="inlineStr">
        <is>
          <t>fusionar</t>
        </is>
      </c>
      <c r="C5" s="3" t="inlineStr">
        <is>
          <t>G10-QUI-U1-1.11, G10-QUI-U7-7.1</t>
        </is>
      </c>
      <c r="D5" s="3" t="n">
        <v>2</v>
      </c>
      <c r="E5" s="3" t="n">
        <v>10</v>
      </c>
      <c r="F5" s="3" t="n">
        <v>10</v>
      </c>
      <c r="G5" s="3" t="inlineStr">
        <is>
          <t>1. La química como ciencia: ciclo de indagación</t>
        </is>
      </c>
      <c r="H5" s="3" t="inlineStr">
        <is>
          <t>1.11. Interpretación y comparación de los estados de la materia y de los sistemas materiales mediante el modelo cinético-molecular.</t>
        </is>
      </c>
      <c r="I5" s="3" t="inlineStr">
        <is>
          <t>Compara en un cuadro forma, volumen, compresibilidad y movimiento de las partículas en sólidos, líquidos y gases, y lo justifica con dibujos del modelo cinético-molecular.</t>
        </is>
      </c>
      <c r="J5" s="3" t="inlineStr">
        <is>
          <t>Estados de la materia, Modelo de partículas de la materia</t>
        </is>
      </c>
      <c r="K5" s="3" t="inlineStr">
        <is>
          <t>fusión: ambos temas trabajan Estados de la materia y Modelo de partículas de la materia en 10.°</t>
        </is>
      </c>
      <c r="L5" s="3" t="inlineStr">
        <is>
          <t>1.11 y 7.1 explican lo mismo con el mismo modelo en el mismo grado. La unidad 7 empieza en 7.2, con las fuerzas en sólidos. La fusión paga el tema nuevo de espectrometría de masas (acción 3).</t>
        </is>
      </c>
    </row>
    <row r="6">
      <c r="A6" s="2" t="n">
        <v>5</v>
      </c>
      <c r="B6" s="2" t="inlineStr">
        <is>
          <t>nuevo</t>
        </is>
      </c>
      <c r="C6" s="2" t="inlineStr"/>
      <c r="D6" s="2" t="n">
        <v>0</v>
      </c>
      <c r="E6" s="2" t="n"/>
      <c r="F6" s="2" t="n">
        <v>10</v>
      </c>
      <c r="G6" s="2" t="inlineStr">
        <is>
          <t>12. Cinética y equilibrio químico (después de 12.4 y 12.7, antes de 12.8)</t>
        </is>
      </c>
      <c r="H6" s="2" t="inlineStr">
        <is>
          <t>12.15. Explicación de la reversibilidad y del equilibrio dinámico con la teoría de colisiones y las energías de activación directa e inversa.</t>
        </is>
      </c>
      <c r="I6" s="2" t="inlineStr">
        <is>
          <t>Dibuja el perfil energético de una reacción reversible, señala las energías de activación directa e inversa y predice, con la frecuencia de colisiones, cómo cambian ambas velocidades al variar la concentración o la presión en un sistema cerrado.</t>
        </is>
      </c>
      <c r="J6" s="2" t="inlineStr">
        <is>
          <t>Equilibrio químico dinámico, Teoría de colisiones, Energía de activación y perfil energético</t>
        </is>
      </c>
      <c r="K6" s="2" t="inlineStr">
        <is>
          <t>ACSCH092 Reversibilidad por energías de activación (reforzar: sin cobertura); ACSCH094 Concentración y presión con teoría de colisiones (reforzar: sin cobertura); ACSCH090 Reversibilidad (reforzar: 1 tema, débil); prerrequisito: Teoría de colisiones (G10 12.4) → Equilibrio químico dinámico (G10 12.8)</t>
        </is>
      </c>
      <c r="L6" s="2" t="inlineStr">
        <is>
          <t>La unidad pasa de la cinética al cálculo de K sin explicar por qué una reacción es reversible. Este tema une las dos mitades antes de 12.8. Se paga con la fusión 6.</t>
        </is>
      </c>
    </row>
    <row r="7">
      <c r="A7" s="3" t="n">
        <v>6</v>
      </c>
      <c r="B7" s="3" t="inlineStr">
        <is>
          <t>fusionar</t>
        </is>
      </c>
      <c r="C7" s="3" t="inlineStr">
        <is>
          <t>G11-QUI-U6-6.2, G11-QUI-U6-6.3</t>
        </is>
      </c>
      <c r="D7" s="3" t="n">
        <v>2</v>
      </c>
      <c r="E7" s="3" t="n">
        <v>11</v>
      </c>
      <c r="F7" s="3" t="n">
        <v>11</v>
      </c>
      <c r="G7" s="3" t="inlineStr">
        <is>
          <t>6. Electroquímica (abre la unidad, tras la acción 1)</t>
        </is>
      </c>
      <c r="H7" s="3" t="inlineStr">
        <is>
          <t>6.2. Balanceo de ecuaciones de oxidación-reducción por el método del ion-electrón en medio ácido y básico.</t>
        </is>
      </c>
      <c r="I7" s="3" t="inlineStr">
        <is>
          <t>Balancea ecuaciones redox separando las semirreacciones de oxidación y de reducción, igualando átomos y cargas en medio ácido o básico, y comprueba el balance final.</t>
        </is>
      </c>
      <c r="J7" s="3" t="inlineStr">
        <is>
          <t>Oxidación y reducción, Ecuación química y su balanceo</t>
        </is>
      </c>
      <c r="K7" s="3" t="inlineStr">
        <is>
          <t>fusión: ambos temas trabajan Oxidación y reducción y el balanceo redox (6.1 también, que pasa a 10.°)</t>
        </is>
      </c>
      <c r="L7" s="3" t="inlineStr">
        <is>
          <t>Demostrar el método del ion-electrón y balancear ecuaciones redox son el mismo contenido. La identificación de la redox ya llega en 10.° (acción 1). La fusión paga el tema nuevo de reversibilidad (acción 5).</t>
        </is>
      </c>
    </row>
    <row r="8">
      <c r="A8" s="2" t="n">
        <v>7</v>
      </c>
      <c r="B8" s="2" t="inlineStr">
        <is>
          <t>fusionar</t>
        </is>
      </c>
      <c r="C8" s="2" t="inlineStr">
        <is>
          <t>G11-QUI-U2-2.7, G11-QUI-U2-2.10</t>
        </is>
      </c>
      <c r="D8" s="2" t="n">
        <v>2</v>
      </c>
      <c r="E8" s="2" t="n">
        <v>11</v>
      </c>
      <c r="F8" s="2" t="n">
        <v>11</v>
      </c>
      <c r="G8" s="2" t="inlineStr">
        <is>
          <t>2. Introducción a la química orgánica</t>
        </is>
      </c>
      <c r="H8" s="2" t="inlineStr">
        <is>
          <t>2.7. Identificación de las funciones alqueno y alquino a partir de sus aplicaciones.</t>
        </is>
      </c>
      <c r="I8" s="2" t="inlineStr">
        <is>
          <t>Reconoce el doble y el triple enlace en fórmulas de productos de uso común (eteno en la maduración de frutas, acetileno en soldadura) y los distingue de los alcanos.</t>
        </is>
      </c>
      <c r="J8" s="2" t="inlineStr">
        <is>
          <t>Hidrocarburos: alcanos, alquenos y alquinos</t>
        </is>
      </c>
      <c r="K8" s="2" t="inlineStr">
        <is>
          <t>fusión: ambos temas trabajan Hidrocarburos: alcanos, alquenos y alquinos (ACSCH035 ya tiene 13 temas en el ciclo)</t>
        </is>
      </c>
      <c r="L8" s="2" t="inlineStr">
        <is>
          <t>La unidad repite para alquenos y alquinos la terna identificación-propiedades-nomenclatura. Unir la identificación de ambas funciones libera un tema para técnicas de determinación de estructuras (acción 10).</t>
        </is>
      </c>
    </row>
    <row r="9">
      <c r="A9" s="3" t="n">
        <v>8</v>
      </c>
      <c r="B9" s="3" t="inlineStr">
        <is>
          <t>fusionar</t>
        </is>
      </c>
      <c r="C9" s="3" t="inlineStr">
        <is>
          <t>G11-QUI-U2-2.8, G11-QUI-U2-2.11</t>
        </is>
      </c>
      <c r="D9" s="3" t="n">
        <v>2</v>
      </c>
      <c r="E9" s="3" t="n">
        <v>11</v>
      </c>
      <c r="F9" s="3" t="n">
        <v>11</v>
      </c>
      <c r="G9" s="3" t="inlineStr">
        <is>
          <t>2. Introducción a la química orgánica</t>
        </is>
      </c>
      <c r="H9" s="3" t="inlineStr">
        <is>
          <t>2.8. Demostración práctica de las propiedades físicas y químicas de los alquenos y los alquinos.</t>
        </is>
      </c>
      <c r="I9" s="3" t="inlineStr">
        <is>
          <t>Compara con pruebas sencillas (decoloración del agua de bromo o del permanganato) la reactividad de alcanos, alquenos y alquinos y la explica por el tipo de enlace.</t>
        </is>
      </c>
      <c r="J9" s="3" t="inlineStr">
        <is>
          <t>Hidrocarburos: alcanos, alquenos y alquinos, Reacciones orgánicas características</t>
        </is>
      </c>
      <c r="K9" s="3" t="inlineStr">
        <is>
          <t>fusión: ambos temas trabajan Hidrocarburos y Reacciones orgánicas características; ACSCH035 (las propiedades dependen del tipo de enlace)</t>
        </is>
      </c>
      <c r="L9" s="3" t="inlineStr">
        <is>
          <t>Las pruebas de insaturación son las mismas para alquenos y alquinos; compararlas juntas responde mejor a ACSCH035. La fusión paga el tema nuevo de combustibles (acción 11).</t>
        </is>
      </c>
    </row>
    <row r="10">
      <c r="A10" s="2" t="n">
        <v>9</v>
      </c>
      <c r="B10" s="2" t="inlineStr">
        <is>
          <t>fusionar</t>
        </is>
      </c>
      <c r="C10" s="2" t="inlineStr">
        <is>
          <t>G11-QUI-U2-2.9, G11-QUI-U2-2.12</t>
        </is>
      </c>
      <c r="D10" s="2" t="n">
        <v>2</v>
      </c>
      <c r="E10" s="2" t="n">
        <v>11</v>
      </c>
      <c r="F10" s="2" t="n">
        <v>11</v>
      </c>
      <c r="G10" s="2" t="inlineStr">
        <is>
          <t>2. Introducción a la química orgánica</t>
        </is>
      </c>
      <c r="H10" s="2" t="inlineStr">
        <is>
          <t>2.9. Explicación de la nomenclatura IUPAC para nombrar alquenos y alquinos.</t>
        </is>
      </c>
      <c r="I10" s="2" t="inlineStr">
        <is>
          <t>Nombra y dibuja alquenos y alquinos de hasta ocho carbonos, numerando la cadena desde el extremo más cercano al enlace múltiple.</t>
        </is>
      </c>
      <c r="J10" s="2" t="inlineStr">
        <is>
          <t>Hidrocarburos: alcanos, alquenos y alquinos, Nomenclatura orgánica IUPAC</t>
        </is>
      </c>
      <c r="K10" s="2" t="inlineStr">
        <is>
          <t>fusión: ambos temas trabajan Nomenclatura orgánica IUPAC de hidrocarburos insaturados</t>
        </is>
      </c>
      <c r="L10" s="2" t="inlineStr">
        <is>
          <t>Las reglas IUPAC de alquenos y alquinos son las mismas salvo el sufijo. La fusión paga el tema nuevo de diseño de síntesis (acción 12).</t>
        </is>
      </c>
    </row>
    <row r="11">
      <c r="A11" s="3" t="n">
        <v>10</v>
      </c>
      <c r="B11" s="3" t="inlineStr">
        <is>
          <t>nuevo</t>
        </is>
      </c>
      <c r="C11" s="3" t="inlineStr"/>
      <c r="D11" s="3" t="n">
        <v>0</v>
      </c>
      <c r="E11" s="3" t="n"/>
      <c r="F11" s="3" t="n">
        <v>11</v>
      </c>
      <c r="G11" s="3" t="inlineStr">
        <is>
          <t>3. Compuestos orgánicos (después de 3.12)</t>
        </is>
      </c>
      <c r="H11" s="3" t="inlineStr">
        <is>
          <t>3.15. Determinación de la estructura de compuestos orgánicos combinando espectros infrarrojos y de masas.</t>
        </is>
      </c>
      <c r="I11" s="3" t="inlineStr">
        <is>
          <t>Propone la estructura de un compuesto orgánico sencillo a partir de su ion molecular en el espectro de masas y de las bandas del grupo funcional en el espectro infrarrojo, y justifica la elección con ambas evidencias.</t>
        </is>
      </c>
      <c r="J11" s="3" t="inlineStr">
        <is>
          <t>Técnicas para determinar estructuras orgánicas, Espectrometría de masas, Grupos funcionales</t>
        </is>
      </c>
      <c r="K11" s="3" t="inlineStr">
        <is>
          <t>ACSCH130 Determinación de estructuras orgánicas (reforzar: 1 tema, débil); prerrequisito: Grupos funcionales (G11 3.4 a 3.12) y Espectrometría de masas (acción 3, 10.°)</t>
        </is>
      </c>
      <c r="L11" s="3" t="inlineStr">
        <is>
          <t>ACSCH130 solo aparece de paso en el cálculo de fórmulas de 10.°. Va al cierre de la unidad, cuando ya se conocen los grupos funcionales, y retoma la espectrometría de 10.°. Se paga con la fusión 7.</t>
        </is>
      </c>
    </row>
    <row r="12">
      <c r="A12" s="2" t="n">
        <v>11</v>
      </c>
      <c r="B12" s="2" t="inlineStr">
        <is>
          <t>nuevo</t>
        </is>
      </c>
      <c r="C12" s="2" t="inlineStr"/>
      <c r="D12" s="2" t="n">
        <v>0</v>
      </c>
      <c r="E12" s="2" t="n"/>
      <c r="F12" s="2" t="n">
        <v>11</v>
      </c>
      <c r="G12" s="2" t="inlineStr">
        <is>
          <t>9. Compuestos del carbono (después de 9.3)</t>
        </is>
      </c>
      <c r="H12" s="2" t="inlineStr">
        <is>
          <t>9.8. Comparación de combustibles fósiles y biocombustibles según la energía liberada, su idoneidad de uso y sus productos de combustión.</t>
        </is>
      </c>
      <c r="I12" s="2" t="inlineStr">
        <is>
          <t>Mide o calcula con datos la energía liberada por gramo de propano, gasolina, etanol y biodiésel, compara sus productos de combustión (CO2, CO, hollín, SO2) y recomienda un combustible para un uso local justificando su elección.</t>
        </is>
      </c>
      <c r="J12" s="2" t="inlineStr">
        <is>
          <t>Combustibles fósiles y biocombustibles, Combustión, Entalpía de reacción y ecuaciones termoquímicas</t>
        </is>
      </c>
      <c r="K12" s="2" t="inlineStr">
        <is>
          <t>ACSCH038 Combustibles fósiles y biocombustibles (reforzar: sin cobertura); ACSCH137 Síntesis de combustibles (reforzar: 1 tema, débil; G11 7.3); prerrequisito: Combustión e Hidrocarburos (G11 9.3 y unidad 2)</t>
        </is>
      </c>
      <c r="L12" s="2" t="inlineStr">
        <is>
          <t>ACARA lo pide en la unidad 1, pero la combustión y los hidrocarburos llegan en 11.°; por eso va después de 9.3. Retoma la entalpía de 10.° y el etanol de caña de 7.3. Se paga con la fusión 8.</t>
        </is>
      </c>
    </row>
    <row r="13">
      <c r="A13" s="3" t="n">
        <v>12</v>
      </c>
      <c r="B13" s="3" t="inlineStr">
        <is>
          <t>nuevo</t>
        </is>
      </c>
      <c r="C13" s="3" t="inlineStr"/>
      <c r="D13" s="3" t="n">
        <v>0</v>
      </c>
      <c r="E13" s="3" t="n"/>
      <c r="F13" s="3" t="n">
        <v>11</v>
      </c>
      <c r="G13" s="3" t="inlineStr">
        <is>
          <t>9. Compuestos del carbono (después de 9.6)</t>
        </is>
      </c>
      <c r="H13" s="3" t="inlineStr">
        <is>
          <t>9.9. Diseño de una ruta de síntesis para obtener un producto con propiedades específicas, con selección de reactivos y condiciones.</t>
        </is>
      </c>
      <c r="I13" s="3" t="inlineStr">
        <is>
          <t>Propone una ruta de una o dos reacciones para obtener un éster aromatizante, un jabón o un fármaco sencillo (ácido acetilsalicílico), justifica reactivos, condiciones y catalizador para maximizar rendimiento y pureza, y calcula el rendimiento esperado.</t>
        </is>
      </c>
      <c r="J13" s="3" t="inlineStr">
        <is>
          <t>Síntesis química y rutas de reacción, Reacciones orgánicas características, Rendimiento de una reacción, Química verde y economía atómica</t>
        </is>
      </c>
      <c r="K13" s="3" t="inlineStr">
        <is>
          <t>ACSCH131 Síntesis química (reforzar: sin cobertura); ACSCH133 Selección de reactivos y condiciones (reforzar: 1 tema, débil); prerrequisito: Reacciones orgánicas características (G11 9.2 a 9.6) y Rendimiento de una reacción (G10 10.3)</t>
        </is>
      </c>
      <c r="L13" s="3" t="inlineStr">
        <is>
          <t>La malla trabaja cada reacción orgánica por separado, pero no pide combinarlas para obtener un producto. Es el cierre natural de la unidad 9 y aplica la química verde de 7.7. Se paga con la fusión 9.</t>
        </is>
      </c>
    </row>
    <row r="14">
      <c r="A14" s="2" t="n">
        <v>13</v>
      </c>
      <c r="B14" s="2" t="inlineStr">
        <is>
          <t>revisar</t>
        </is>
      </c>
      <c r="C14" s="2" t="inlineStr">
        <is>
          <t>G11-QUI-U6-6.9</t>
        </is>
      </c>
      <c r="D14" s="2" t="n">
        <v>1</v>
      </c>
      <c r="E14" s="2" t="n">
        <v>11</v>
      </c>
      <c r="F14" s="2" t="n">
        <v>11</v>
      </c>
      <c r="G14" s="2" t="inlineStr">
        <is>
          <t>6. Electroquímica</t>
        </is>
      </c>
      <c r="H14" s="2" t="inlineStr">
        <is>
          <t>6.9. Análisis de aplicaciones de la electroquímica, incluidas las celdas de combustible y sus catalizadores de nanopartículas metálicas, y de sus impactos.</t>
        </is>
      </c>
      <c r="I14" s="2" t="inlineStr">
        <is>
          <t>Explica con un esquema las semirreacciones de una celda de combustible de hidrógeno, el papel del catalizador de nanopartículas de platino y compara su eficiencia e impacto con una pila o batería común.</t>
        </is>
      </c>
      <c r="J14" s="2" t="inlineStr">
        <is>
          <t>Celdas galvánicas, Electrólisis y celdas electrolíticas, Catalizadores, Nanomateriales y manufactura molecular</t>
        </is>
      </c>
      <c r="K14" s="2" t="inlineStr">
        <is>
          <t>ACSCH109 Nanocatalizadores en celdas de combustible (reforzar: sin cobertura); ACSCH106 Agentes oxidantes y reductores (reforzar: 1 tema, débil)</t>
        </is>
      </c>
      <c r="L14" s="2" t="inlineStr">
        <is>
          <t>El tema es genérico. Se precisa con las celdas de combustible y los nanocatalizadores, el faltante de ACARA, sin gastar presupuesto.</t>
        </is>
      </c>
    </row>
    <row r="15">
      <c r="A15" s="3" t="n">
        <v>14</v>
      </c>
      <c r="B15" s="3" t="inlineStr">
        <is>
          <t>revisar</t>
        </is>
      </c>
      <c r="C15" s="3" t="inlineStr">
        <is>
          <t>G11-QUI-U1-1.9</t>
        </is>
      </c>
      <c r="D15" s="3" t="n">
        <v>1</v>
      </c>
      <c r="E15" s="3" t="n">
        <v>11</v>
      </c>
      <c r="F15" s="3" t="n">
        <v>11</v>
      </c>
      <c r="G15" s="3" t="inlineStr">
        <is>
          <t>1. Ciencia de materiales</t>
        </is>
      </c>
      <c r="H15" s="3" t="inlineStr">
        <is>
          <t>1.9. Investigación de las aplicaciones de los nanomateriales y de la manufactura molecular: nanotubos de carbono, nanorrobots y sensores médicos.</t>
        </is>
      </c>
      <c r="I15" s="3" t="inlineStr">
        <is>
          <t>Expone, con fuentes, cómo se obtiene y para qué se usa un producto de la manufactura molecular (nanotubos, nanosensores) y relaciona sus propiedades con el tamaño y la posición controlada de sus moléculas.</t>
        </is>
      </c>
      <c r="J15" s="3" t="inlineStr">
        <is>
          <t>Nanomateriales y manufactura molecular, Redes covalentes y alótropos del carbono</t>
        </is>
      </c>
      <c r="K15" s="3" t="inlineStr">
        <is>
          <t>ACSCH138 Manufactura molecular (reforzar: sin cobertura); ACSCH034 Alótropos del carbono (reforzar: 1 tema, débil)</t>
        </is>
      </c>
      <c r="L15" s="3" t="inlineStr">
        <is>
          <t>El concepto de manufactura molecular ya está en la malla, pero ningún tema lo pide de forma explícita. Se agrega al tema de aplicaciones de nanomateriales sin gastar presupuesto.</t>
        </is>
      </c>
    </row>
    <row r="16">
      <c r="A16" s="2" t="n">
        <v>15</v>
      </c>
      <c r="B16" s="2" t="inlineStr">
        <is>
          <t>revisar</t>
        </is>
      </c>
      <c r="C16" s="2" t="inlineStr">
        <is>
          <t>G10-QUI-U9-9.2</t>
        </is>
      </c>
      <c r="D16" s="2" t="n">
        <v>1</v>
      </c>
      <c r="E16" s="2" t="n">
        <v>10</v>
      </c>
      <c r="F16" s="2" t="n">
        <v>10</v>
      </c>
      <c r="G16" s="2" t="inlineStr">
        <is>
          <t>9. Reacciones químicas</t>
        </is>
      </c>
      <c r="H16" s="2" t="inlineStr">
        <is>
          <t>9.2. Clasificación de reacciones químicas cotidianas e industriales y predicción de productos de las reacciones de ácidos con metales, carbonatos y bases.</t>
        </is>
      </c>
      <c r="I16" s="2" t="inlineStr">
        <is>
          <t>Clasifica reacciones por la reorganización de reactivos y productos, y predice y comprueba con indicadores y escala de pH los productos de un ácido con zinc, con bicarbonato y con una base.</t>
        </is>
      </c>
      <c r="J16" s="2" t="inlineStr">
        <is>
          <t>Clasificación de las reacciones químicas, Ácidos y bases: propiedades, Escala de pH</t>
        </is>
      </c>
      <c r="K16" s="2" t="inlineStr">
        <is>
          <t>ACSCH067 Patrones de reacción de ácidos y bases (reforzar: sin cobertura); ACSCH066 Escala de pH (reforzar: sin cobertura); ACSCH101 Indicadores ácido-base (reforzar: 1 tema, débil)</t>
        </is>
      </c>
      <c r="L16" s="2" t="inlineStr">
        <is>
          <t>10.° no trabaja ácidos y bases; 11.° empieza en el nivel avanzado (Kw, Ka, amortiguadores). El tema retoma lo visto en 7.° y 9.° con los patrones de reacción de ACARA, sin gastar presupuesto.</t>
        </is>
      </c>
    </row>
    <row r="17">
      <c r="A17" s="3" t="n">
        <v>16</v>
      </c>
      <c r="B17" s="3" t="inlineStr">
        <is>
          <t>revisar</t>
        </is>
      </c>
      <c r="C17" s="3" t="inlineStr">
        <is>
          <t>G11-QUI-U2-2.2</t>
        </is>
      </c>
      <c r="D17" s="3" t="n">
        <v>1</v>
      </c>
      <c r="E17" s="3" t="n">
        <v>11</v>
      </c>
      <c r="F17" s="3" t="n">
        <v>11</v>
      </c>
      <c r="G17" s="3" t="inlineStr">
        <is>
          <t>2. Introducción a la química orgánica</t>
        </is>
      </c>
      <c r="H17" s="3" t="inlineStr">
        <is>
          <t>2.2. Relación de la hibridación sp3, sp2 y sp del carbono con los enlaces simples, dobles y triples mediante modelos tridimensionales.</t>
        </is>
      </c>
      <c r="I17" s="3" t="inlineStr">
        <is>
          <t>Construye modelos de metano, eteno y etino y relaciona la hibridación del carbono con la geometría y el tipo de enlace de cada uno.</t>
        </is>
      </c>
      <c r="J17" s="3" t="inlineStr">
        <is>
          <t>Hibridación de orbitales, El carbono y las moléculas orgánicas, Hidrocarburos: alcanos, alquenos y alquinos</t>
        </is>
      </c>
      <c r="K17" s="3" t="inlineStr">
        <is>
          <t>repetición: Hibridación de orbitales ya se trabaja en G10 5.7</t>
        </is>
      </c>
      <c r="L17" s="3" t="inlineStr">
        <is>
          <t>La hibridación se enseña en 10.° (5.7) y se repite en 11.°. El tema se reorienta a aplicarla al carbono como base de la unidad de hidrocarburos, en lugar de volver a presentarla.</t>
        </is>
      </c>
    </row>
    <row r="18">
      <c r="A18" s="2" t="n">
        <v>17</v>
      </c>
      <c r="B18" s="2" t="inlineStr">
        <is>
          <t>revisar</t>
        </is>
      </c>
      <c r="C18" s="2" t="inlineStr">
        <is>
          <t>G10-QUI-U3-3.8, G10-QUI-U5-5.3, G10-QUI-U5-5.11, G10-QUI-U11-11.4, G10-QUI-U11-11.5, G10-QUI-U11-11.6, G10-QUI-U11-11.7, G10-QUI-U12-12.3, G10-QUI-U12-12.5, G10-QUI-U12-12.13</t>
        </is>
      </c>
      <c r="D18" s="2" t="n">
        <v>10</v>
      </c>
      <c r="E18" s="2" t="n">
        <v>10</v>
      </c>
      <c r="F18" s="2" t="n">
        <v>10</v>
      </c>
      <c r="G18" s="2" t="inlineStr">
        <is>
          <t>3, 5, 11 y 12 (sin cambio de ubicación)</t>
        </is>
      </c>
      <c r="H18" s="2" t="inlineStr">
        <is>
          <t>Se mantienen con su redacción actual; el MINED define su nivel de profundidad.</t>
        </is>
      </c>
      <c r="I18" s="2" t="inlineStr">
        <is>
          <t>Sin cambio hasta la decisión del MINED.</t>
        </is>
      </c>
      <c r="J18" s="2" t="inlineStr">
        <is>
          <t>Números cuánticos, Teorías del enlace de valencia y de orbitales moleculares, Energía reticular y ciclo de Born-Haber, Entropía, Energía de Gibbs y espontaneidad, Ley de velocidad, orden de reacción y ecuación de Arrhenius, Mecanismos de reacción, Relación entre energía de Gibbs y constante de equilibrio</t>
        </is>
      </c>
      <c r="K18" s="2" t="inlineStr">
        <is>
          <t>README de Química: la malla va más allá de ACARA en 10.° (números cuánticos, Born-Haber, leyes de velocidad, entropía y Gibbs); decisión abierta del MINED</t>
        </is>
      </c>
      <c r="L18" s="2" t="inlineStr">
        <is>
          <t>Son contenidos de primer año universitario que ACARA no pide en las unidades 1 y 2. No se quitan. Si el MINED decide aligerarlos, liberarían tiempo para los faltantes de ACARA.</t>
        </is>
      </c>
    </row>
    <row r="19">
      <c r="A19" s="3" t="n">
        <v>18</v>
      </c>
      <c r="B19" s="3" t="inlineStr">
        <is>
          <t>revisar</t>
        </is>
      </c>
      <c r="C19" s="3" t="inlineStr">
        <is>
          <t>G11-QUI-U3-3.13, G11-QUI-U5-5.4, G11-QUI-U6-6.10, G11-QUI-U8-8.3, G11-QUI-U9-9.1</t>
        </is>
      </c>
      <c r="D19" s="3" t="n">
        <v>5</v>
      </c>
      <c r="E19" s="3" t="n">
        <v>11</v>
      </c>
      <c r="F19" s="3" t="n">
        <v>11</v>
      </c>
      <c r="G19" s="3" t="inlineStr">
        <is>
          <t>3, 5, 6, 8 y 9 (sin cambio de ubicación)</t>
        </is>
      </c>
      <c r="H19" s="3" t="inlineStr">
        <is>
          <t>Se mantienen con su redacción actual; el MINED define su nivel de profundidad.</t>
        </is>
      </c>
      <c r="I19" s="3" t="inlineStr">
        <is>
          <t>Sin cambio hasta la decisión del MINED.</t>
        </is>
      </c>
      <c r="J19" s="3" t="inlineStr">
        <is>
          <t>Estereoquímica y quiralidad, Producto de solubilidad (Kps), Ecuación de Nernst, Semivida, series de desintegración y residuos radiactivos, Fundamentos de la reactividad orgánica</t>
        </is>
      </c>
      <c r="K19" s="3" t="inlineStr">
        <is>
          <t>README de Química: en 11.° la malla va más allá de ACARA (química nuclear, Ksp, Nernst, estereoquímica y mecanismos); decisión abierta del MINED</t>
        </is>
      </c>
      <c r="L19" s="3" t="inlineStr">
        <is>
          <t>Son los temas más avanzados de cada bloque. No se quitan: se señalan para que el MINED decida si conserva ese nivel o los trata de forma cualitativa.</t>
        </is>
      </c>
    </row>
    <row r="20">
      <c r="A20" s="2" t="n">
        <v>19</v>
      </c>
      <c r="B20" s="2" t="inlineStr">
        <is>
          <t>fusionar</t>
        </is>
      </c>
      <c r="C20" s="2" t="inlineStr">
        <is>
          <t>G10-QUI-U2-2.5, G10-QUI-U2-2.6</t>
        </is>
      </c>
      <c r="D20" s="2" t="n">
        <v>2</v>
      </c>
      <c r="E20" s="2" t="n">
        <v>10</v>
      </c>
      <c r="F20" s="2" t="n">
        <v>10</v>
      </c>
      <c r="G20" s="2" t="inlineStr">
        <is>
          <t>2. Las cantidades en química</t>
        </is>
      </c>
      <c r="H20" s="2" t="inlineStr">
        <is>
          <t>2.5. Cálculo de la composición centesimal y de las fórmulas empírica y molecular de compuestos inorgánicos y orgánicos a partir de datos experimentales y de análisis elemental.</t>
        </is>
      </c>
      <c r="I20" s="2" t="inlineStr">
        <is>
          <t>Calcula la composición centesimal de un compuesto y, a partir de datos de análisis elemental y de su masa molar, obtiene su fórmula empírica y su fórmula molecular, y verifica el resultado con la suma de masas atómicas.</t>
        </is>
      </c>
      <c r="J20" s="2" t="inlineStr">
        <is>
          <t>Composición porcentual y fórmulas empírica y molecular, Masa molar</t>
        </is>
      </c>
      <c r="K20" s="2" t="inlineStr">
        <is>
          <t>fusión: ambos temas trabajan Composición porcentual y fórmulas empírica y molecular en 10.° (2.6 ya sin la isomería, acción 2)</t>
        </is>
      </c>
      <c r="L20" s="2" t="inlineStr">
        <is>
          <t>Sin el reconocimiento de isómeros, 2.6 repite el cálculo de fórmulas de 2.5 con compuestos orgánicos. Unidos, el cálculo se practica con ambos tipos de compuesto. La fusión paga el tema de isómeros de 11.° (acción 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7" customWidth="1" min="3" max="3"/>
    <col width="12" customWidth="1" min="4" max="4"/>
    <col width="22" customWidth="1" min="5" max="5"/>
    <col width="22" customWidth="1" min="6" max="6"/>
  </cols>
  <sheetData>
    <row r="1">
      <c r="A1" s="1" t="inlineStr">
        <is>
          <t>Grado</t>
        </is>
      </c>
      <c r="B1" s="1" t="inlineStr">
        <is>
          <t>Temas actuales</t>
        </is>
      </c>
      <c r="C1" s="1" t="inlineStr">
        <is>
          <t>Temas propuestos</t>
        </is>
      </c>
      <c r="D1" s="1" t="inlineStr">
        <is>
          <t>Diferencia</t>
        </is>
      </c>
      <c r="E1" s="1" t="inlineStr">
        <is>
          <t>Acciones que salen del grado</t>
        </is>
      </c>
      <c r="F1" s="1" t="inlineStr">
        <is>
          <t>Acciones que llegan al grado</t>
        </is>
      </c>
    </row>
    <row r="2">
      <c r="A2" s="4" t="n">
        <v>10</v>
      </c>
      <c r="B2" s="4" t="n">
        <v>112</v>
      </c>
      <c r="C2" s="4" t="n">
        <v>113</v>
      </c>
      <c r="D2" s="4">
        <f>C2-B2</f>
        <v/>
      </c>
      <c r="E2" s="4">
        <f>COUNTIFS(Acciones!E:E,A2,Acciones!B:B,"mover")</f>
        <v/>
      </c>
      <c r="F2" s="4">
        <f>COUNTIFS(Acciones!F:F,A2,Acciones!B:B,"mover")</f>
        <v/>
      </c>
    </row>
    <row r="3">
      <c r="A3" s="4" t="n">
        <v>11</v>
      </c>
      <c r="B3" s="4" t="n">
        <v>97</v>
      </c>
      <c r="C3" s="4" t="n">
        <v>96</v>
      </c>
      <c r="D3" s="4">
        <f>C3-B3</f>
        <v/>
      </c>
      <c r="E3" s="4">
        <f>COUNTIFS(Acciones!E:E,A3,Acciones!B:B,"mover")</f>
        <v/>
      </c>
      <c r="F3" s="4">
        <f>COUNTIFS(Acciones!F:F,A3,Acciones!B:B,"mover")</f>
        <v/>
      </c>
    </row>
    <row r="4">
      <c r="A4" s="5" t="inlineStr">
        <is>
          <t>Total</t>
        </is>
      </c>
      <c r="B4" s="5">
        <f>SUM(B2:B3)</f>
        <v/>
      </c>
      <c r="C4" s="5">
        <f>SUM(C2:C3)</f>
        <v/>
      </c>
      <c r="D4" s="5">
        <f>C4-B4</f>
        <v/>
      </c>
      <c r="E4" s="5">
        <f>SUM(E2:E3)</f>
        <v/>
      </c>
      <c r="F4" s="5">
        <f>SUM(F2:F3)</f>
        <v/>
      </c>
    </row>
    <row r="6">
      <c r="A6" t="inlineStr">
        <is>
          <t>Regla: el total del ciclo no cambia (Diferencia del total = 0). Fuente: gskg propuesta + revisión del especialista; estado: borrador, pendiente de revisión del equipo de Ciencias del MINED.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goes-science-kg</dc:creator>
  <dcterms:created xsi:type="dcterms:W3CDTF">2026-01-01T00:00:00Z</dcterms:created>
  <dcterms:modified xsi:type="dcterms:W3CDTF">2026-01-01T00:00:00Z</dcterms:modified>
</cp:coreProperties>
</file>