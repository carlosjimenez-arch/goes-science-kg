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D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Concepto</t>
        </is>
      </c>
      <c r="B1" s="1" t="inlineStr">
        <is>
          <t>Primer grado SV</t>
        </is>
      </c>
      <c r="C1" s="1" t="inlineStr">
        <is>
          <t>Mediana países</t>
        </is>
      </c>
      <c r="D1" s="1" t="inlineStr">
        <is>
          <t>Mediana alto desempeño</t>
        </is>
      </c>
      <c r="E1" s="1" t="inlineStr">
        <is>
          <t>AU</t>
        </is>
      </c>
      <c r="F1" s="1" t="inlineStr">
        <is>
          <t>CO</t>
        </is>
      </c>
      <c r="G1" s="1" t="inlineStr">
        <is>
          <t>ENG</t>
        </is>
      </c>
      <c r="H1" s="1" t="inlineStr">
        <is>
          <t>JP</t>
        </is>
      </c>
      <c r="I1" s="1" t="inlineStr">
        <is>
          <t>SG</t>
        </is>
      </c>
      <c r="J1" s="1" t="inlineStr">
        <is>
          <t>UY</t>
        </is>
      </c>
      <c r="K1" s="1" t="inlineStr">
        <is>
          <t>Oportunidad</t>
        </is>
      </c>
    </row>
    <row r="2">
      <c r="A2" t="inlineStr">
        <is>
          <t>Oxidación y reducción</t>
        </is>
      </c>
      <c r="B2" t="n">
        <v>11</v>
      </c>
      <c r="C2" t="n">
        <v>6.5</v>
      </c>
      <c r="D2" t="n">
        <v>6.5</v>
      </c>
      <c r="G2" t="n">
        <v>6</v>
      </c>
      <c r="H2" t="n">
        <v>7</v>
      </c>
      <c r="K2" t="n">
        <v>4.5</v>
      </c>
    </row>
    <row r="3">
      <c r="A3" t="inlineStr">
        <is>
          <t>Indicadores ácido-base</t>
        </is>
      </c>
      <c r="B3" t="n">
        <v>9</v>
      </c>
      <c r="C3" t="n">
        <v>5.5</v>
      </c>
      <c r="D3" t="n">
        <v>5.5</v>
      </c>
      <c r="G3" t="n">
        <v>6</v>
      </c>
      <c r="H3" t="n">
        <v>5</v>
      </c>
      <c r="K3" t="n">
        <v>3.5</v>
      </c>
    </row>
    <row r="4">
      <c r="A4" t="inlineStr">
        <is>
          <t>Electrólisis y celdas electrolíticas</t>
        </is>
      </c>
      <c r="B4" t="n">
        <v>11</v>
      </c>
      <c r="C4" t="n">
        <v>8</v>
      </c>
      <c r="D4" t="n">
        <v>8.25</v>
      </c>
      <c r="G4" t="n">
        <v>8.5</v>
      </c>
      <c r="H4" t="n">
        <v>8</v>
      </c>
      <c r="J4" t="n">
        <v>5</v>
      </c>
      <c r="K4" t="n">
        <v>3</v>
      </c>
    </row>
    <row r="5">
      <c r="A5" t="inlineStr">
        <is>
          <t>Metales, cerámicas y materiales compuestos</t>
        </is>
      </c>
      <c r="B5" t="n">
        <v>10</v>
      </c>
      <c r="C5" t="n">
        <v>7</v>
      </c>
      <c r="D5" t="n">
        <v>7</v>
      </c>
      <c r="G5" t="n">
        <v>6</v>
      </c>
      <c r="H5" t="n">
        <v>8</v>
      </c>
      <c r="K5" t="n">
        <v>3</v>
      </c>
    </row>
    <row r="6">
      <c r="A6" t="inlineStr">
        <is>
          <t>Reacciones exotérmicas y endotérmicas</t>
        </is>
      </c>
      <c r="B6" t="n">
        <v>10</v>
      </c>
      <c r="C6" t="n">
        <v>7</v>
      </c>
      <c r="D6" t="n">
        <v>7</v>
      </c>
      <c r="E6" t="n">
        <v>7</v>
      </c>
      <c r="G6" t="n">
        <v>6</v>
      </c>
      <c r="H6" t="n">
        <v>7</v>
      </c>
      <c r="K6" t="n">
        <v>3</v>
      </c>
    </row>
    <row r="7">
      <c r="A7" t="inlineStr">
        <is>
          <t>Teoría cinética de los gases</t>
        </is>
      </c>
      <c r="B7" t="n">
        <v>10</v>
      </c>
      <c r="C7" t="n">
        <v>7.25</v>
      </c>
      <c r="D7" t="n">
        <v>6</v>
      </c>
      <c r="F7" t="n">
        <v>8.5</v>
      </c>
      <c r="G7" t="n">
        <v>6</v>
      </c>
      <c r="K7" t="n">
        <v>2.75</v>
      </c>
    </row>
    <row r="8">
      <c r="A8" t="inlineStr">
        <is>
          <t>Composición del aire y contaminantes atmosféricos</t>
        </is>
      </c>
      <c r="B8" t="n">
        <v>7</v>
      </c>
      <c r="C8" t="n">
        <v>5</v>
      </c>
      <c r="D8" t="n">
        <v>5</v>
      </c>
      <c r="F8" t="n">
        <v>4.5</v>
      </c>
      <c r="G8" t="n">
        <v>8.5</v>
      </c>
      <c r="H8" t="n">
        <v>5</v>
      </c>
      <c r="I8" t="n">
        <v>5</v>
      </c>
      <c r="J8" t="n">
        <v>6</v>
      </c>
      <c r="K8" t="n">
        <v>2</v>
      </c>
    </row>
    <row r="9">
      <c r="A9" t="inlineStr">
        <is>
          <t>Conservación de la masa</t>
        </is>
      </c>
      <c r="B9" t="n">
        <v>10</v>
      </c>
      <c r="C9" t="n">
        <v>8</v>
      </c>
      <c r="D9" t="n">
        <v>6</v>
      </c>
      <c r="E9" t="n">
        <v>8</v>
      </c>
      <c r="F9" t="n">
        <v>8</v>
      </c>
      <c r="G9" t="n">
        <v>6</v>
      </c>
      <c r="H9" t="n">
        <v>2</v>
      </c>
      <c r="J9" t="n">
        <v>9</v>
      </c>
      <c r="K9" t="n">
        <v>2</v>
      </c>
    </row>
    <row r="10">
      <c r="A10" t="inlineStr">
        <is>
          <t>Sustancias puras: elementos y compuestos</t>
        </is>
      </c>
      <c r="B10" t="n">
        <v>8</v>
      </c>
      <c r="C10" t="n">
        <v>6</v>
      </c>
      <c r="D10" t="n">
        <v>6</v>
      </c>
      <c r="E10" t="n">
        <v>6</v>
      </c>
      <c r="F10" t="n">
        <v>6</v>
      </c>
      <c r="G10" t="n">
        <v>6</v>
      </c>
      <c r="H10" t="n">
        <v>7</v>
      </c>
      <c r="J10" t="n">
        <v>5</v>
      </c>
      <c r="K10" t="n">
        <v>2</v>
      </c>
    </row>
    <row r="11">
      <c r="A11" t="inlineStr">
        <is>
          <t>Procesos de la industria química</t>
        </is>
      </c>
      <c r="B11" t="n">
        <v>8</v>
      </c>
      <c r="C11" t="n">
        <v>6.25</v>
      </c>
      <c r="D11" t="n">
        <v>6</v>
      </c>
      <c r="F11" t="n">
        <v>6.5</v>
      </c>
      <c r="G11" t="n">
        <v>6</v>
      </c>
      <c r="K11" t="n">
        <v>1.75</v>
      </c>
    </row>
    <row r="12">
      <c r="A12" t="inlineStr">
        <is>
          <t>Radiactividad y emisiones nucleares</t>
        </is>
      </c>
      <c r="B12" t="n">
        <v>10</v>
      </c>
      <c r="C12" t="n">
        <v>8.25</v>
      </c>
      <c r="D12" t="n">
        <v>8.25</v>
      </c>
      <c r="E12" t="n">
        <v>8</v>
      </c>
      <c r="G12" t="n">
        <v>8.5</v>
      </c>
      <c r="K12" t="n">
        <v>1.75</v>
      </c>
    </row>
    <row r="13">
      <c r="A13" t="inlineStr">
        <is>
          <t>Ácidos y bases: propiedades</t>
        </is>
      </c>
      <c r="B13" t="n">
        <v>7</v>
      </c>
      <c r="C13" t="n">
        <v>6</v>
      </c>
      <c r="D13" t="n">
        <v>5.5</v>
      </c>
      <c r="F13" t="n">
        <v>8.5</v>
      </c>
      <c r="G13" t="n">
        <v>6</v>
      </c>
      <c r="H13" t="n">
        <v>5</v>
      </c>
      <c r="K13" t="n">
        <v>1</v>
      </c>
    </row>
    <row r="14">
      <c r="A14" t="inlineStr">
        <is>
          <t>Teorías ácido-base (Arrhenius, Brønsted-Lowry, Lewis)</t>
        </is>
      </c>
      <c r="B14" t="n">
        <v>9</v>
      </c>
      <c r="C14" t="n">
        <v>8.25</v>
      </c>
      <c r="D14" t="n">
        <v>8</v>
      </c>
      <c r="F14" t="n">
        <v>8.5</v>
      </c>
      <c r="H14" t="n">
        <v>8</v>
      </c>
      <c r="K14" t="n">
        <v>0.75</v>
      </c>
    </row>
    <row r="15">
      <c r="A15" t="inlineStr">
        <is>
          <t>Factores que afectan la rapidez de reacción</t>
        </is>
      </c>
      <c r="B15" t="n">
        <v>9</v>
      </c>
      <c r="C15" t="n">
        <v>8.75</v>
      </c>
      <c r="D15" t="n">
        <v>8.75</v>
      </c>
      <c r="E15" t="n">
        <v>9</v>
      </c>
      <c r="G15" t="n">
        <v>8.5</v>
      </c>
      <c r="K15" t="n">
        <v>0.25</v>
      </c>
    </row>
    <row r="16">
      <c r="A16" t="inlineStr">
        <is>
          <t>Combustión</t>
        </is>
      </c>
      <c r="B16" t="n">
        <v>7</v>
      </c>
      <c r="C16" t="n">
        <v>7</v>
      </c>
      <c r="D16" t="n">
        <v>6</v>
      </c>
      <c r="E16" t="n">
        <v>8</v>
      </c>
      <c r="F16" t="n">
        <v>8.5</v>
      </c>
      <c r="G16" t="n">
        <v>6</v>
      </c>
      <c r="H16" t="n">
        <v>5</v>
      </c>
      <c r="K16" t="n">
        <v>0</v>
      </c>
    </row>
    <row r="17">
      <c r="A17" t="inlineStr">
        <is>
          <t>Materia y materiales</t>
        </is>
      </c>
      <c r="B17" t="n">
        <v>2</v>
      </c>
      <c r="C17" t="n">
        <v>2</v>
      </c>
      <c r="D17" t="n">
        <v>2.5</v>
      </c>
      <c r="E17" t="n">
        <v>2</v>
      </c>
      <c r="F17" t="n">
        <v>2</v>
      </c>
      <c r="G17" t="n">
        <v>2</v>
      </c>
      <c r="H17" t="n">
        <v>6</v>
      </c>
      <c r="I17" t="n">
        <v>3</v>
      </c>
      <c r="K17" t="n">
        <v>0</v>
      </c>
    </row>
    <row r="18">
      <c r="A18" t="inlineStr">
        <is>
          <t>Modelo de partículas de la materia</t>
        </is>
      </c>
      <c r="B18" t="n">
        <v>6</v>
      </c>
      <c r="C18" t="n">
        <v>6</v>
      </c>
      <c r="D18" t="n">
        <v>5</v>
      </c>
      <c r="E18" t="n">
        <v>4</v>
      </c>
      <c r="F18" t="n">
        <v>8.5</v>
      </c>
      <c r="G18" t="n">
        <v>6</v>
      </c>
      <c r="J18" t="n">
        <v>6</v>
      </c>
      <c r="K18" t="n">
        <v>0</v>
      </c>
    </row>
    <row r="19">
      <c r="A19" t="inlineStr">
        <is>
          <t>Neutralización y reacciones de los ácidos</t>
        </is>
      </c>
      <c r="B19" t="n">
        <v>7</v>
      </c>
      <c r="C19" t="n">
        <v>7</v>
      </c>
      <c r="D19" t="n">
        <v>7</v>
      </c>
      <c r="G19" t="n">
        <v>6</v>
      </c>
      <c r="H19" t="n">
        <v>8</v>
      </c>
      <c r="K19" t="n">
        <v>0</v>
      </c>
    </row>
    <row r="20">
      <c r="A20" t="inlineStr">
        <is>
          <t>Propiedades físicas de los materiales</t>
        </is>
      </c>
      <c r="B20" t="n">
        <v>2</v>
      </c>
      <c r="C20" t="n">
        <v>2</v>
      </c>
      <c r="D20" t="n">
        <v>2</v>
      </c>
      <c r="E20" t="n">
        <v>2</v>
      </c>
      <c r="F20" t="n">
        <v>2</v>
      </c>
      <c r="G20" t="n">
        <v>2</v>
      </c>
      <c r="I20" t="n">
        <v>3</v>
      </c>
      <c r="J20" t="n">
        <v>3</v>
      </c>
      <c r="K20" t="n">
        <v>0</v>
      </c>
    </row>
    <row r="21">
      <c r="A21" t="inlineStr">
        <is>
          <t>Cambios físicos y químicos</t>
        </is>
      </c>
      <c r="B21" t="n">
        <v>3</v>
      </c>
      <c r="C21" t="n">
        <v>3.25</v>
      </c>
      <c r="D21" t="n">
        <v>2</v>
      </c>
      <c r="E21" t="n">
        <v>2</v>
      </c>
      <c r="F21" t="n">
        <v>4.5</v>
      </c>
      <c r="G21" t="n">
        <v>2</v>
      </c>
      <c r="J21" t="n">
        <v>5</v>
      </c>
      <c r="K21" t="n">
        <v>-0.25</v>
      </c>
    </row>
    <row r="22">
      <c r="A22" t="inlineStr">
        <is>
          <t>Escala de pH</t>
        </is>
      </c>
      <c r="B22" t="n">
        <v>7</v>
      </c>
      <c r="C22" t="n">
        <v>7.25</v>
      </c>
      <c r="D22" t="n">
        <v>6</v>
      </c>
      <c r="F22" t="n">
        <v>8.5</v>
      </c>
      <c r="G22" t="n">
        <v>6</v>
      </c>
      <c r="K22" t="n">
        <v>-0.25</v>
      </c>
    </row>
    <row r="23">
      <c r="A23" t="inlineStr">
        <is>
          <t>Cambios de estado</t>
        </is>
      </c>
      <c r="B23" t="n">
        <v>2</v>
      </c>
      <c r="C23" t="n">
        <v>2.5</v>
      </c>
      <c r="D23" t="n">
        <v>2.5</v>
      </c>
      <c r="E23" t="n">
        <v>2</v>
      </c>
      <c r="F23" t="n">
        <v>2</v>
      </c>
      <c r="G23" t="n">
        <v>2</v>
      </c>
      <c r="H23" t="n">
        <v>3</v>
      </c>
      <c r="I23" t="n">
        <v>4</v>
      </c>
      <c r="J23" t="n">
        <v>3</v>
      </c>
      <c r="K23" t="n">
        <v>-0.5</v>
      </c>
    </row>
    <row r="24">
      <c r="A24" t="inlineStr">
        <is>
          <t>Ecuación química y su balanceo</t>
        </is>
      </c>
      <c r="B24" t="n">
        <v>7</v>
      </c>
      <c r="C24" t="n">
        <v>7.5</v>
      </c>
      <c r="D24" t="n">
        <v>7</v>
      </c>
      <c r="E24" t="n">
        <v>8</v>
      </c>
      <c r="G24" t="n">
        <v>6</v>
      </c>
      <c r="H24" t="n">
        <v>7</v>
      </c>
      <c r="J24" t="n">
        <v>9</v>
      </c>
      <c r="K24" t="n">
        <v>-0.5</v>
      </c>
    </row>
    <row r="25">
      <c r="A25" t="inlineStr">
        <is>
          <t>Estados de la materia</t>
        </is>
      </c>
      <c r="B25" t="n">
        <v>2</v>
      </c>
      <c r="C25" t="n">
        <v>2.5</v>
      </c>
      <c r="D25" t="n">
        <v>2.5</v>
      </c>
      <c r="E25" t="n">
        <v>2</v>
      </c>
      <c r="F25" t="n">
        <v>2</v>
      </c>
      <c r="G25" t="n">
        <v>2</v>
      </c>
      <c r="H25" t="n">
        <v>3</v>
      </c>
      <c r="I25" t="n">
        <v>4</v>
      </c>
      <c r="J25" t="n">
        <v>3</v>
      </c>
      <c r="K25" t="n">
        <v>-0.5</v>
      </c>
    </row>
    <row r="26">
      <c r="A26" t="inlineStr">
        <is>
          <t>Mol y número de Avogadro</t>
        </is>
      </c>
      <c r="B26" t="n">
        <v>8</v>
      </c>
      <c r="C26" t="n">
        <v>8.5</v>
      </c>
      <c r="D26" t="n">
        <v>8.5</v>
      </c>
      <c r="F26" t="n">
        <v>8.5</v>
      </c>
      <c r="G26" t="n">
        <v>8.5</v>
      </c>
      <c r="K26" t="n">
        <v>-0.5</v>
      </c>
    </row>
    <row r="27">
      <c r="A27" t="inlineStr">
        <is>
          <t>Clasificación de las reacciones químicas</t>
        </is>
      </c>
      <c r="B27" t="n">
        <v>6</v>
      </c>
      <c r="C27" t="n">
        <v>7</v>
      </c>
      <c r="D27" t="n">
        <v>7</v>
      </c>
      <c r="E27" t="n">
        <v>9</v>
      </c>
      <c r="G27" t="n">
        <v>6</v>
      </c>
      <c r="H27" t="n">
        <v>7</v>
      </c>
      <c r="K27" t="n">
        <v>-1</v>
      </c>
    </row>
    <row r="28">
      <c r="A28" t="inlineStr">
        <is>
          <t>Organización de la tabla periódica</t>
        </is>
      </c>
      <c r="B28" t="n">
        <v>5</v>
      </c>
      <c r="C28" t="n">
        <v>6.25</v>
      </c>
      <c r="D28" t="n">
        <v>7.5</v>
      </c>
      <c r="E28" t="n">
        <v>9</v>
      </c>
      <c r="F28" t="n">
        <v>6.5</v>
      </c>
      <c r="G28" t="n">
        <v>6</v>
      </c>
      <c r="J28" t="n">
        <v>5</v>
      </c>
      <c r="K28" t="n">
        <v>-1.25</v>
      </c>
    </row>
    <row r="29">
      <c r="A29" t="inlineStr">
        <is>
          <t>Solubilidad y disoluciones saturadas</t>
        </is>
      </c>
      <c r="B29" t="n">
        <v>3</v>
      </c>
      <c r="C29" t="n">
        <v>4.25</v>
      </c>
      <c r="D29" t="n">
        <v>3.5</v>
      </c>
      <c r="F29" t="n">
        <v>4.5</v>
      </c>
      <c r="G29" t="n">
        <v>3</v>
      </c>
      <c r="H29" t="n">
        <v>4</v>
      </c>
      <c r="J29" t="n">
        <v>5</v>
      </c>
      <c r="K29" t="n">
        <v>-1.25</v>
      </c>
    </row>
    <row r="30">
      <c r="A30" t="inlineStr">
        <is>
          <t>Evolución de los modelos atómicos</t>
        </is>
      </c>
      <c r="B30" t="n">
        <v>5</v>
      </c>
      <c r="C30" t="n">
        <v>6.5</v>
      </c>
      <c r="D30" t="n">
        <v>7</v>
      </c>
      <c r="E30" t="n">
        <v>8</v>
      </c>
      <c r="F30" t="n">
        <v>6.5</v>
      </c>
      <c r="G30" t="n">
        <v>6</v>
      </c>
      <c r="K30" t="n">
        <v>-1.5</v>
      </c>
    </row>
    <row r="31">
      <c r="A31" t="inlineStr">
        <is>
          <t>Moléculas y fórmulas químicas</t>
        </is>
      </c>
      <c r="B31" t="n">
        <v>5</v>
      </c>
      <c r="C31" t="n">
        <v>6.5</v>
      </c>
      <c r="D31" t="n">
        <v>7</v>
      </c>
      <c r="E31" t="n">
        <v>7</v>
      </c>
      <c r="F31" t="n">
        <v>6.5</v>
      </c>
      <c r="G31" t="n">
        <v>6</v>
      </c>
      <c r="H31" t="n">
        <v>7</v>
      </c>
      <c r="J31" t="n">
        <v>6</v>
      </c>
      <c r="K31" t="n">
        <v>-1.5</v>
      </c>
    </row>
    <row r="32">
      <c r="A32" t="inlineStr">
        <is>
          <t>Densidad y flotación</t>
        </is>
      </c>
      <c r="B32" t="n">
        <v>2</v>
      </c>
      <c r="C32" t="n">
        <v>3.75</v>
      </c>
      <c r="D32" t="n">
        <v>4</v>
      </c>
      <c r="F32" t="n">
        <v>4.5</v>
      </c>
      <c r="G32" t="n">
        <v>6</v>
      </c>
      <c r="H32" t="n">
        <v>2</v>
      </c>
      <c r="J32" t="n">
        <v>3</v>
      </c>
      <c r="K32" t="n">
        <v>-1.75</v>
      </c>
    </row>
    <row r="33">
      <c r="A33" t="inlineStr">
        <is>
          <t>Métodos físicos de separación de mezclas</t>
        </is>
      </c>
      <c r="B33" t="n">
        <v>2</v>
      </c>
      <c r="C33" t="n">
        <v>4</v>
      </c>
      <c r="D33" t="n">
        <v>4</v>
      </c>
      <c r="E33" t="n">
        <v>6</v>
      </c>
      <c r="F33" t="n">
        <v>4</v>
      </c>
      <c r="G33" t="n">
        <v>3</v>
      </c>
      <c r="H33" t="n">
        <v>4</v>
      </c>
      <c r="J33" t="n">
        <v>5</v>
      </c>
      <c r="K33" t="n">
        <v>-2</v>
      </c>
    </row>
    <row r="34">
      <c r="A34" t="inlineStr">
        <is>
          <t>Propiedades singulares del agua</t>
        </is>
      </c>
      <c r="B34" t="n">
        <v>3</v>
      </c>
      <c r="C34" t="n">
        <v>5</v>
      </c>
      <c r="D34" t="n">
        <v>4.5</v>
      </c>
      <c r="F34" t="n">
        <v>6.5</v>
      </c>
      <c r="G34" t="n">
        <v>6</v>
      </c>
      <c r="H34" t="n">
        <v>3</v>
      </c>
      <c r="J34" t="n">
        <v>4</v>
      </c>
      <c r="K34" t="n">
        <v>-2</v>
      </c>
    </row>
    <row r="35">
      <c r="A35" t="inlineStr">
        <is>
          <t>Enlace covalente</t>
        </is>
      </c>
      <c r="B35" t="n">
        <v>6</v>
      </c>
      <c r="C35" t="n">
        <v>8.25</v>
      </c>
      <c r="D35" t="n">
        <v>8.5</v>
      </c>
      <c r="F35" t="n">
        <v>8</v>
      </c>
      <c r="G35" t="n">
        <v>8.5</v>
      </c>
      <c r="K35" t="n">
        <v>-2.25</v>
      </c>
    </row>
    <row r="36">
      <c r="A36" t="inlineStr">
        <is>
          <t>Compuestos inorgánicos: funciones y nomenclatura</t>
        </is>
      </c>
      <c r="B36" t="n">
        <v>5</v>
      </c>
      <c r="C36" t="n">
        <v>7.5</v>
      </c>
      <c r="D36" t="n">
        <v>6</v>
      </c>
      <c r="G36" t="n">
        <v>6</v>
      </c>
      <c r="J36" t="n">
        <v>9</v>
      </c>
      <c r="K36" t="n">
        <v>-2.5</v>
      </c>
    </row>
    <row r="37">
      <c r="A37" t="inlineStr">
        <is>
          <t>Propiedades periódicas</t>
        </is>
      </c>
      <c r="B37" t="n">
        <v>5</v>
      </c>
      <c r="C37" t="n">
        <v>7.75</v>
      </c>
      <c r="D37" t="n">
        <v>7.5</v>
      </c>
      <c r="E37" t="n">
        <v>9</v>
      </c>
      <c r="F37" t="n">
        <v>6.5</v>
      </c>
      <c r="G37" t="n">
        <v>6</v>
      </c>
      <c r="J37" t="n">
        <v>9</v>
      </c>
      <c r="K37" t="n">
        <v>-2.75</v>
      </c>
    </row>
    <row r="38">
      <c r="A38" t="inlineStr">
        <is>
          <t>Tipo de enlace y propiedades de las sustancias</t>
        </is>
      </c>
      <c r="B38" t="n">
        <v>6</v>
      </c>
      <c r="C38" t="n">
        <v>8.75</v>
      </c>
      <c r="D38" t="n">
        <v>8.5</v>
      </c>
      <c r="G38" t="n">
        <v>8.5</v>
      </c>
      <c r="J38" t="n">
        <v>9</v>
      </c>
      <c r="K38" t="n">
        <v>-2.75</v>
      </c>
    </row>
    <row r="39">
      <c r="A39" t="inlineStr">
        <is>
          <t>Reacción química y sus evidencias</t>
        </is>
      </c>
      <c r="B39" t="n">
        <v>2</v>
      </c>
      <c r="C39" t="n">
        <v>5</v>
      </c>
      <c r="D39" t="n">
        <v>5</v>
      </c>
      <c r="E39" t="n">
        <v>5</v>
      </c>
      <c r="F39" t="n">
        <v>8</v>
      </c>
      <c r="G39" t="n">
        <v>3</v>
      </c>
      <c r="H39" t="n">
        <v>5</v>
      </c>
      <c r="K39" t="n">
        <v>-3</v>
      </c>
    </row>
    <row r="40">
      <c r="A40" t="inlineStr">
        <is>
          <t>Átomo y partículas subatómicas</t>
        </is>
      </c>
      <c r="B40" t="n">
        <v>5</v>
      </c>
      <c r="C40" t="n">
        <v>8</v>
      </c>
      <c r="D40" t="n">
        <v>8</v>
      </c>
      <c r="E40" t="n">
        <v>8</v>
      </c>
      <c r="F40" t="n">
        <v>6.5</v>
      </c>
      <c r="G40" t="n">
        <v>6</v>
      </c>
      <c r="H40" t="n">
        <v>8</v>
      </c>
      <c r="J40" t="n">
        <v>9</v>
      </c>
      <c r="K40" t="n">
        <v>-3</v>
      </c>
    </row>
    <row r="41">
      <c r="A41" t="inlineStr">
        <is>
          <t>Enlace iónico</t>
        </is>
      </c>
      <c r="B41" t="n">
        <v>5</v>
      </c>
      <c r="C41" t="n">
        <v>8.25</v>
      </c>
      <c r="D41" t="n">
        <v>8.5</v>
      </c>
      <c r="F41" t="n">
        <v>8</v>
      </c>
      <c r="G41" t="n">
        <v>8.5</v>
      </c>
      <c r="K41" t="n">
        <v>-3.25</v>
      </c>
    </row>
    <row r="42">
      <c r="A42" t="inlineStr">
        <is>
          <t>Iones</t>
        </is>
      </c>
      <c r="B42" t="n">
        <v>5</v>
      </c>
      <c r="C42" t="n">
        <v>8.25</v>
      </c>
      <c r="D42" t="n">
        <v>8.25</v>
      </c>
      <c r="G42" t="n">
        <v>8.5</v>
      </c>
      <c r="H42" t="n">
        <v>8</v>
      </c>
      <c r="K42" t="n">
        <v>-3.25</v>
      </c>
    </row>
    <row r="43">
      <c r="A43" t="inlineStr">
        <is>
          <t>Isótopos</t>
        </is>
      </c>
      <c r="B43" t="n">
        <v>5</v>
      </c>
      <c r="C43" t="n">
        <v>8.25</v>
      </c>
      <c r="D43" t="n">
        <v>8.25</v>
      </c>
      <c r="E43" t="n">
        <v>8</v>
      </c>
      <c r="G43" t="n">
        <v>8.5</v>
      </c>
      <c r="K43" t="n">
        <v>-3.25</v>
      </c>
    </row>
    <row r="44">
      <c r="A44" t="inlineStr">
        <is>
          <t>Distribución electrónica por niveles (modelo de capas)</t>
        </is>
      </c>
      <c r="B44" t="n">
        <v>5</v>
      </c>
      <c r="C44" t="n">
        <v>9</v>
      </c>
      <c r="D44" t="n">
        <v>8.75</v>
      </c>
      <c r="E44" t="n">
        <v>9</v>
      </c>
      <c r="G44" t="n">
        <v>8.5</v>
      </c>
      <c r="J44" t="n">
        <v>9</v>
      </c>
      <c r="K44" t="n">
        <v>-4</v>
      </c>
    </row>
    <row r="45">
      <c r="A45" t="inlineStr">
        <is>
          <t>Mezclas homogéneas y heterogéneas</t>
        </is>
      </c>
      <c r="B45" t="n">
        <v>2</v>
      </c>
      <c r="C45" t="n">
        <v>6</v>
      </c>
      <c r="D45" t="n">
        <v>6</v>
      </c>
      <c r="E45" t="n">
        <v>6</v>
      </c>
      <c r="F45" t="n">
        <v>4</v>
      </c>
      <c r="G45" t="n">
        <v>6</v>
      </c>
      <c r="H45" t="n">
        <v>4</v>
      </c>
      <c r="J45" t="n">
        <v>6</v>
      </c>
      <c r="K45" t="n">
        <v>-4</v>
      </c>
    </row>
    <row r="46">
      <c r="A46" t="inlineStr">
        <is>
          <t>Propiedades físicas y químicas</t>
        </is>
      </c>
      <c r="B46" t="n">
        <v>2</v>
      </c>
      <c r="C46" t="n">
        <v>6</v>
      </c>
      <c r="D46" t="n">
        <v>6</v>
      </c>
      <c r="F46" t="n">
        <v>6</v>
      </c>
      <c r="G46" t="n">
        <v>6</v>
      </c>
      <c r="H46" t="n">
        <v>6</v>
      </c>
      <c r="J46" t="n">
        <v>8</v>
      </c>
      <c r="K46" t="n">
        <v>-4</v>
      </c>
    </row>
    <row r="47">
      <c r="A47" t="inlineStr">
        <is>
          <t>Disolución y rapidez de disolución</t>
        </is>
      </c>
      <c r="B47" t="n">
        <v>3</v>
      </c>
      <c r="C47" t="n">
        <v>7.5</v>
      </c>
      <c r="D47" t="n">
        <v>6</v>
      </c>
      <c r="F47" t="n">
        <v>9</v>
      </c>
      <c r="G47" t="n">
        <v>6</v>
      </c>
      <c r="K47" t="n">
        <v>-4.5</v>
      </c>
    </row>
    <row r="48">
      <c r="A48" t="inlineStr">
        <is>
          <t>Soluto, disolvente y concentración</t>
        </is>
      </c>
      <c r="B48" t="n">
        <v>3</v>
      </c>
      <c r="C48" t="n">
        <v>8.5</v>
      </c>
      <c r="D48" t="n">
        <v>8.5</v>
      </c>
      <c r="F48" t="n">
        <v>8.5</v>
      </c>
      <c r="G48" t="n">
        <v>8.5</v>
      </c>
      <c r="J48" t="n">
        <v>9</v>
      </c>
      <c r="K48" t="n">
        <v>-5.5</v>
      </c>
    </row>
    <row r="49">
      <c r="A49" t="inlineStr">
        <is>
          <t>Reutilización y reciclaje de materiales</t>
        </is>
      </c>
      <c r="B49" t="n">
        <v>2</v>
      </c>
      <c r="C49" t="n">
        <v>8.25</v>
      </c>
      <c r="D49" t="n">
        <v>8.25</v>
      </c>
      <c r="G49" t="n">
        <v>8.5</v>
      </c>
      <c r="H49" t="n">
        <v>8</v>
      </c>
      <c r="K49" t="n">
        <v>-6.25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Brechas · Química</t>
        </is>
      </c>
      <c r="B1" s="1" t="inlineStr">
        <is>
          <t>Valor</t>
        </is>
      </c>
    </row>
    <row r="2">
      <c r="A2" t="inlineStr">
        <is>
          <t>Conceptos comparables con los países</t>
        </is>
      </c>
      <c r="B2">
        <f>COUNTA(Oportunidad!A2:A49)</f>
        <v/>
      </c>
    </row>
    <row r="3">
      <c r="A3" t="inlineStr">
        <is>
          <t>Llegan 2 o más grados tarde</t>
        </is>
      </c>
      <c r="B3">
        <f>COUNTIF(Oportunidad!K2:K49,"&gt;=2")</f>
        <v/>
      </c>
    </row>
    <row r="4">
      <c r="A4" t="inlineStr">
        <is>
          <t>Llegan 2 o más grados antes</t>
        </is>
      </c>
      <c r="B4">
        <f>COUNTIF(Oportunidad!K2:K49,"&lt;=-2")</f>
        <v/>
      </c>
    </row>
    <row r="5">
      <c r="A5" t="inlineStr">
        <is>
          <t>Oportunidad promedio (grados)</t>
        </is>
      </c>
      <c r="B5">
        <f>AVERAGE(Oportunidad!K2:K49)</f>
        <v/>
      </c>
    </row>
    <row r="6">
      <c r="A6" t="inlineStr">
        <is>
          <t>Errores de secuencia (todos)</t>
        </is>
      </c>
      <c r="B6" t="n">
        <v>21</v>
      </c>
    </row>
    <row r="7">
      <c r="A7" t="inlineStr">
        <is>
          <t>Errores de secuencia (confianza alta)</t>
        </is>
      </c>
      <c r="B7" t="n">
        <v>15</v>
      </c>
    </row>
    <row r="9">
      <c r="A9" t="inlineStr">
        <is>
          <t>Oportunidad = primer grado en El Salvador − mediana de los países de referencia (grado equivalente por edad de ingreso). Positivo: El Salvador llega tarde. Fuente: gskg brechas.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goes-science-kg</dc:creator>
  <dcterms:created xsi:type="dcterms:W3CDTF">2026-01-01T00:00:00Z</dcterms:created>
  <dcterms:modified xsi:type="dcterms:W3CDTF">2026-01-01T00:00:00Z</dcterms:modified>
</cp:coreProperties>
</file>